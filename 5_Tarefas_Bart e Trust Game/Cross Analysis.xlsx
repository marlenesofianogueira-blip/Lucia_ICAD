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d Protocol" sheetId="1" r:id="rId4"/>
    <sheet state="visible" name="Voucher" sheetId="2" r:id="rId5"/>
    <sheet state="visible" name="CrossAnalysis" sheetId="3" r:id="rId6"/>
  </sheets>
  <definedNames/>
  <calcPr/>
</workbook>
</file>

<file path=xl/sharedStrings.xml><?xml version="1.0" encoding="utf-8"?>
<sst xmlns="http://schemas.openxmlformats.org/spreadsheetml/2006/main" count="478" uniqueCount="169">
  <si>
    <t>ID</t>
  </si>
  <si>
    <t>Questionário</t>
  </si>
  <si>
    <t>BART</t>
  </si>
  <si>
    <t>Trust Game</t>
  </si>
  <si>
    <t>Completed?</t>
  </si>
  <si>
    <t>Comments</t>
  </si>
  <si>
    <t>MMSE</t>
  </si>
  <si>
    <t>OCDE</t>
  </si>
  <si>
    <t xml:space="preserve">Final </t>
  </si>
  <si>
    <t>AA24051941</t>
  </si>
  <si>
    <t>X</t>
  </si>
  <si>
    <t>AC17101947</t>
  </si>
  <si>
    <t>AF01021935</t>
  </si>
  <si>
    <t>AM01071945</t>
  </si>
  <si>
    <t>AM13121944</t>
  </si>
  <si>
    <t>AM14031944</t>
  </si>
  <si>
    <t>AM17011957</t>
  </si>
  <si>
    <t>AM26021960</t>
  </si>
  <si>
    <t>AM28061950</t>
  </si>
  <si>
    <t>AO25031956</t>
  </si>
  <si>
    <t>AP17091950</t>
  </si>
  <si>
    <t>AS06071963</t>
  </si>
  <si>
    <t>AS18051959</t>
  </si>
  <si>
    <t>AR10061960</t>
  </si>
  <si>
    <t>falta completar questionário (recolha adiada de S. Martinho)</t>
  </si>
  <si>
    <t>BF10092024</t>
  </si>
  <si>
    <t>BR27081937</t>
  </si>
  <si>
    <t>Dados da BART não foram gravados</t>
  </si>
  <si>
    <t>CC08021947</t>
  </si>
  <si>
    <t>CS02051951</t>
  </si>
  <si>
    <t>EC03061938</t>
  </si>
  <si>
    <t>EC04051942</t>
  </si>
  <si>
    <t>EF11121935</t>
  </si>
  <si>
    <t>EF12031959</t>
  </si>
  <si>
    <t>EL08041935</t>
  </si>
  <si>
    <t>EM04081942</t>
  </si>
  <si>
    <t>EM22071954</t>
  </si>
  <si>
    <t>EN10051939</t>
  </si>
  <si>
    <t>EP12081940</t>
  </si>
  <si>
    <t>ES21111948</t>
  </si>
  <si>
    <t>FA09071967</t>
  </si>
  <si>
    <t>FC23071951</t>
  </si>
  <si>
    <t>FF02011958</t>
  </si>
  <si>
    <t>FM24121949</t>
  </si>
  <si>
    <t>FP01031943</t>
  </si>
  <si>
    <t>FR24011951</t>
  </si>
  <si>
    <t>GM05101936</t>
  </si>
  <si>
    <t>GS13011954</t>
  </si>
  <si>
    <t>IS04051943</t>
  </si>
  <si>
    <t>JA19011956</t>
  </si>
  <si>
    <t>JB28071945</t>
  </si>
  <si>
    <t>JF26121933</t>
  </si>
  <si>
    <t>JF27081944</t>
  </si>
  <si>
    <t>JJ16051937</t>
  </si>
  <si>
    <t>JL24101937</t>
  </si>
  <si>
    <t>JM19101961</t>
  </si>
  <si>
    <t>JO03031939</t>
  </si>
  <si>
    <t>JO26061940</t>
  </si>
  <si>
    <t>JP06111966</t>
  </si>
  <si>
    <t>JP21061930</t>
  </si>
  <si>
    <t>JR09051931</t>
  </si>
  <si>
    <t>JS15111932</t>
  </si>
  <si>
    <t>JS21021941</t>
  </si>
  <si>
    <t>JV11091949</t>
  </si>
  <si>
    <t>LC03021946</t>
  </si>
  <si>
    <t>LM29041952</t>
  </si>
  <si>
    <t>MA02091945</t>
  </si>
  <si>
    <t>MA11101945</t>
  </si>
  <si>
    <t>MA20071941</t>
  </si>
  <si>
    <t>MA23061952</t>
  </si>
  <si>
    <t>MA29091948</t>
  </si>
  <si>
    <t>MA30061957</t>
  </si>
  <si>
    <t>MB15061959</t>
  </si>
  <si>
    <t>MC02071942</t>
  </si>
  <si>
    <t>MC17031941</t>
  </si>
  <si>
    <t>MC26081948</t>
  </si>
  <si>
    <t>MC29041952</t>
  </si>
  <si>
    <t>MC29121950</t>
  </si>
  <si>
    <t>MF01091934</t>
  </si>
  <si>
    <t>MF03051950</t>
  </si>
  <si>
    <t>MF12101934</t>
  </si>
  <si>
    <t>MF17101943</t>
  </si>
  <si>
    <t>MF28091947</t>
  </si>
  <si>
    <t>MG06041942</t>
  </si>
  <si>
    <t>MG08031931</t>
  </si>
  <si>
    <t>MG11041947</t>
  </si>
  <si>
    <t>ML03021933</t>
  </si>
  <si>
    <t>ML13011950</t>
  </si>
  <si>
    <t>ML15061931</t>
  </si>
  <si>
    <t>ML30041940</t>
  </si>
  <si>
    <t>MM03061936</t>
  </si>
  <si>
    <t>MM06111947</t>
  </si>
  <si>
    <t>MM08071955</t>
  </si>
  <si>
    <t>MM13091947</t>
  </si>
  <si>
    <t>MM17071943</t>
  </si>
  <si>
    <t>MM18011954</t>
  </si>
  <si>
    <t>MM18091956</t>
  </si>
  <si>
    <t>MM22021935</t>
  </si>
  <si>
    <t>MM28031953</t>
  </si>
  <si>
    <t>MN10051949</t>
  </si>
  <si>
    <t>MN21031947</t>
  </si>
  <si>
    <t>MO06021937</t>
  </si>
  <si>
    <t>MO09121943</t>
  </si>
  <si>
    <t>MO24111949</t>
  </si>
  <si>
    <t>MP01031948</t>
  </si>
  <si>
    <t>MP06041939</t>
  </si>
  <si>
    <t>MP10051955</t>
  </si>
  <si>
    <t>MP12071959</t>
  </si>
  <si>
    <t>MP15091948</t>
  </si>
  <si>
    <t>MP19011944</t>
  </si>
  <si>
    <t>MP19051945</t>
  </si>
  <si>
    <t>MP21071936</t>
  </si>
  <si>
    <t>MP27011943</t>
  </si>
  <si>
    <t>MR02091943</t>
  </si>
  <si>
    <t>MR05051963</t>
  </si>
  <si>
    <t>MR17021953</t>
  </si>
  <si>
    <t>MR18051937</t>
  </si>
  <si>
    <t>MR20031946</t>
  </si>
  <si>
    <t>MR20101937</t>
  </si>
  <si>
    <t>MS02121941</t>
  </si>
  <si>
    <t xml:space="preserve">Dados da BART não foram gravados </t>
  </si>
  <si>
    <t>MS07051951</t>
  </si>
  <si>
    <t>MS07121949</t>
  </si>
  <si>
    <t>MS22061949</t>
  </si>
  <si>
    <t>MS23081938</t>
  </si>
  <si>
    <t>MS24041949</t>
  </si>
  <si>
    <t>MS26011951</t>
  </si>
  <si>
    <t>MS27071936</t>
  </si>
  <si>
    <t>MV02051946</t>
  </si>
  <si>
    <t>MV15011951</t>
  </si>
  <si>
    <t>NL09101925</t>
  </si>
  <si>
    <t>NS04041943</t>
  </si>
  <si>
    <t>OO11111941</t>
  </si>
  <si>
    <t>OP18061957</t>
  </si>
  <si>
    <t>OS11071966</t>
  </si>
  <si>
    <t>RC10011949</t>
  </si>
  <si>
    <t>RD11041966</t>
  </si>
  <si>
    <t>RF19011944</t>
  </si>
  <si>
    <t>RF19081958</t>
  </si>
  <si>
    <t>RL15121938</t>
  </si>
  <si>
    <t>RV27031939</t>
  </si>
  <si>
    <t>SN02011956</t>
  </si>
  <si>
    <t>SV09071936</t>
  </si>
  <si>
    <t>TS01091952</t>
  </si>
  <si>
    <t>Trust Game Score</t>
  </si>
  <si>
    <t>BART Score</t>
  </si>
  <si>
    <t>Total</t>
  </si>
  <si>
    <t>Trust</t>
  </si>
  <si>
    <t>3.73</t>
  </si>
  <si>
    <t>15.41</t>
  </si>
  <si>
    <t>29.63</t>
  </si>
  <si>
    <t>4.67</t>
  </si>
  <si>
    <t>9.35</t>
  </si>
  <si>
    <t>14.6</t>
  </si>
  <si>
    <t>0.13</t>
  </si>
  <si>
    <t>10.81</t>
  </si>
  <si>
    <t>21.87</t>
  </si>
  <si>
    <t>5.93</t>
  </si>
  <si>
    <t>18.59</t>
  </si>
  <si>
    <t>12.63</t>
  </si>
  <si>
    <t>6.33</t>
  </si>
  <si>
    <t>25.12</t>
  </si>
  <si>
    <t>3.47</t>
  </si>
  <si>
    <t>6.53</t>
  </si>
  <si>
    <t>4.33</t>
  </si>
  <si>
    <t>28.83</t>
  </si>
  <si>
    <t>21.05</t>
  </si>
  <si>
    <t>2.47</t>
  </si>
  <si>
    <t>6.32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</si>
</sst>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mm.dd"/>
  </numFmts>
  <fonts count="9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b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2" numFmtId="0" xfId="0" applyFont="1"/>
    <xf borderId="3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3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6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horizontal="center" readingOrder="0"/>
    </xf>
    <xf borderId="0" fillId="0" fontId="4" numFmtId="0" xfId="0" applyFont="1"/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5" fillId="0" fontId="2" numFmtId="0" xfId="0" applyBorder="1" applyFont="1"/>
    <xf borderId="0" fillId="0" fontId="8" numFmtId="0" xfId="0" applyAlignment="1" applyFont="1">
      <alignment readingOrder="0" vertical="bottom"/>
    </xf>
    <xf borderId="1" fillId="0" fontId="4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6" fillId="0" fontId="2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 t="s">
        <v>9</v>
      </c>
      <c r="B2" s="8" t="s">
        <v>10</v>
      </c>
      <c r="C2" s="9"/>
      <c r="D2" s="9"/>
      <c r="E2" s="10" t="str">
        <f t="shared" ref="E2:E132" si="1">IF(AND(B2="X",C2="X",D2="X"),1,(IF(AND(B2="X",OR(C2="X",D2="X")),"[1]","")))</f>
        <v/>
      </c>
      <c r="F2" s="10"/>
      <c r="G2" s="11">
        <v>1.0</v>
      </c>
      <c r="H2" s="11">
        <v>0.0</v>
      </c>
      <c r="I2" s="12">
        <f t="shared" ref="I2:I132" si="2">IF(AND(E2=1,G2=0,H2=0),1,0)</f>
        <v>0</v>
      </c>
    </row>
    <row r="3">
      <c r="A3" s="7" t="s">
        <v>11</v>
      </c>
      <c r="B3" s="8" t="s">
        <v>10</v>
      </c>
      <c r="C3" s="8" t="s">
        <v>10</v>
      </c>
      <c r="D3" s="8" t="s">
        <v>10</v>
      </c>
      <c r="E3" s="10">
        <f t="shared" si="1"/>
        <v>1</v>
      </c>
      <c r="F3" s="10"/>
      <c r="G3" s="11">
        <v>0.0</v>
      </c>
      <c r="H3" s="11">
        <v>0.0</v>
      </c>
      <c r="I3" s="12">
        <f t="shared" si="2"/>
        <v>1</v>
      </c>
    </row>
    <row r="4">
      <c r="A4" s="7" t="s">
        <v>12</v>
      </c>
      <c r="B4" s="8" t="s">
        <v>10</v>
      </c>
      <c r="C4" s="9"/>
      <c r="D4" s="9"/>
      <c r="E4" s="10" t="str">
        <f t="shared" si="1"/>
        <v/>
      </c>
      <c r="F4" s="10"/>
      <c r="G4" s="11">
        <v>0.0</v>
      </c>
      <c r="H4" s="11">
        <v>0.0</v>
      </c>
      <c r="I4" s="12">
        <f t="shared" si="2"/>
        <v>0</v>
      </c>
    </row>
    <row r="5">
      <c r="A5" s="7" t="s">
        <v>13</v>
      </c>
      <c r="B5" s="8" t="s">
        <v>10</v>
      </c>
      <c r="C5" s="8" t="s">
        <v>10</v>
      </c>
      <c r="D5" s="8" t="s">
        <v>10</v>
      </c>
      <c r="E5" s="10">
        <f t="shared" si="1"/>
        <v>1</v>
      </c>
      <c r="F5" s="10"/>
      <c r="G5" s="11">
        <v>0.0</v>
      </c>
      <c r="H5" s="11">
        <v>0.0</v>
      </c>
      <c r="I5" s="12">
        <f t="shared" si="2"/>
        <v>1</v>
      </c>
    </row>
    <row r="6">
      <c r="A6" s="7" t="s">
        <v>14</v>
      </c>
      <c r="B6" s="8" t="s">
        <v>10</v>
      </c>
      <c r="C6" s="9"/>
      <c r="D6" s="9"/>
      <c r="E6" s="10" t="str">
        <f t="shared" si="1"/>
        <v/>
      </c>
      <c r="F6" s="10"/>
      <c r="G6" s="11">
        <v>1.0</v>
      </c>
      <c r="H6" s="11">
        <v>1.0</v>
      </c>
      <c r="I6" s="12">
        <f t="shared" si="2"/>
        <v>0</v>
      </c>
    </row>
    <row r="7">
      <c r="A7" s="7" t="s">
        <v>15</v>
      </c>
      <c r="B7" s="8" t="s">
        <v>10</v>
      </c>
      <c r="C7" s="9"/>
      <c r="D7" s="9"/>
      <c r="E7" s="10" t="str">
        <f t="shared" si="1"/>
        <v/>
      </c>
      <c r="F7" s="10"/>
      <c r="G7" s="11">
        <v>0.0</v>
      </c>
      <c r="H7" s="11">
        <v>0.0</v>
      </c>
      <c r="I7" s="12">
        <f t="shared" si="2"/>
        <v>0</v>
      </c>
    </row>
    <row r="8">
      <c r="A8" s="7" t="s">
        <v>16</v>
      </c>
      <c r="B8" s="8" t="s">
        <v>10</v>
      </c>
      <c r="C8" s="9"/>
      <c r="D8" s="9"/>
      <c r="E8" s="10" t="str">
        <f t="shared" si="1"/>
        <v/>
      </c>
      <c r="F8" s="10"/>
      <c r="G8" s="11">
        <v>0.0</v>
      </c>
      <c r="H8" s="11">
        <v>0.0</v>
      </c>
      <c r="I8" s="12">
        <f t="shared" si="2"/>
        <v>0</v>
      </c>
    </row>
    <row r="9">
      <c r="A9" s="7" t="s">
        <v>17</v>
      </c>
      <c r="B9" s="8" t="s">
        <v>10</v>
      </c>
      <c r="C9" s="9"/>
      <c r="D9" s="9"/>
      <c r="E9" s="10" t="str">
        <f t="shared" si="1"/>
        <v/>
      </c>
      <c r="F9" s="10"/>
      <c r="G9" s="11">
        <v>0.0</v>
      </c>
      <c r="H9" s="11">
        <v>1.0</v>
      </c>
      <c r="I9" s="12">
        <f t="shared" si="2"/>
        <v>0</v>
      </c>
    </row>
    <row r="10">
      <c r="A10" s="7" t="s">
        <v>18</v>
      </c>
      <c r="B10" s="8" t="s">
        <v>10</v>
      </c>
      <c r="C10" s="9"/>
      <c r="D10" s="9"/>
      <c r="E10" s="10" t="str">
        <f t="shared" si="1"/>
        <v/>
      </c>
      <c r="F10" s="10"/>
      <c r="G10" s="11">
        <v>1.0</v>
      </c>
      <c r="H10" s="11">
        <v>1.0</v>
      </c>
      <c r="I10" s="12">
        <f t="shared" si="2"/>
        <v>0</v>
      </c>
    </row>
    <row r="11">
      <c r="A11" s="7" t="s">
        <v>19</v>
      </c>
      <c r="B11" s="8" t="s">
        <v>10</v>
      </c>
      <c r="C11" s="8" t="s">
        <v>10</v>
      </c>
      <c r="D11" s="8" t="s">
        <v>10</v>
      </c>
      <c r="E11" s="10">
        <f t="shared" si="1"/>
        <v>1</v>
      </c>
      <c r="F11" s="10"/>
      <c r="G11" s="11">
        <v>0.0</v>
      </c>
      <c r="H11" s="11">
        <v>0.0</v>
      </c>
      <c r="I11" s="12">
        <f t="shared" si="2"/>
        <v>1</v>
      </c>
    </row>
    <row r="12">
      <c r="A12" s="7" t="s">
        <v>20</v>
      </c>
      <c r="B12" s="8" t="s">
        <v>10</v>
      </c>
      <c r="C12" s="8" t="s">
        <v>10</v>
      </c>
      <c r="D12" s="8" t="s">
        <v>10</v>
      </c>
      <c r="E12" s="10">
        <f t="shared" si="1"/>
        <v>1</v>
      </c>
      <c r="F12" s="10"/>
      <c r="G12" s="11">
        <v>0.0</v>
      </c>
      <c r="H12" s="11">
        <v>0.0</v>
      </c>
      <c r="I12" s="12">
        <f t="shared" si="2"/>
        <v>1</v>
      </c>
    </row>
    <row r="13">
      <c r="A13" s="7" t="s">
        <v>21</v>
      </c>
      <c r="B13" s="8" t="s">
        <v>10</v>
      </c>
      <c r="C13" s="9"/>
      <c r="D13" s="9"/>
      <c r="E13" s="10" t="str">
        <f t="shared" si="1"/>
        <v/>
      </c>
      <c r="F13" s="10"/>
      <c r="G13" s="11">
        <v>1.0</v>
      </c>
      <c r="H13" s="11">
        <v>0.0</v>
      </c>
      <c r="I13" s="12">
        <f t="shared" si="2"/>
        <v>0</v>
      </c>
    </row>
    <row r="14">
      <c r="A14" s="7" t="s">
        <v>22</v>
      </c>
      <c r="B14" s="8" t="s">
        <v>10</v>
      </c>
      <c r="C14" s="9"/>
      <c r="D14" s="9"/>
      <c r="E14" s="10" t="str">
        <f t="shared" si="1"/>
        <v/>
      </c>
      <c r="F14" s="10"/>
      <c r="G14" s="11">
        <v>0.0</v>
      </c>
      <c r="H14" s="11">
        <v>0.0</v>
      </c>
      <c r="I14" s="12">
        <f t="shared" si="2"/>
        <v>0</v>
      </c>
    </row>
    <row r="15">
      <c r="A15" s="13" t="s">
        <v>23</v>
      </c>
      <c r="B15" s="14"/>
      <c r="C15" s="8" t="s">
        <v>10</v>
      </c>
      <c r="D15" s="8" t="s">
        <v>10</v>
      </c>
      <c r="E15" s="10" t="str">
        <f t="shared" si="1"/>
        <v/>
      </c>
      <c r="F15" s="15" t="s">
        <v>24</v>
      </c>
      <c r="H15" s="11">
        <v>0.0</v>
      </c>
      <c r="I15" s="12">
        <f t="shared" si="2"/>
        <v>0</v>
      </c>
    </row>
    <row r="16">
      <c r="A16" s="7" t="s">
        <v>25</v>
      </c>
      <c r="B16" s="8" t="s">
        <v>10</v>
      </c>
      <c r="C16" s="9"/>
      <c r="D16" s="9"/>
      <c r="E16" s="10" t="str">
        <f t="shared" si="1"/>
        <v/>
      </c>
      <c r="F16" s="10"/>
      <c r="G16" s="11">
        <v>1.0</v>
      </c>
      <c r="H16" s="11">
        <v>0.0</v>
      </c>
      <c r="I16" s="12">
        <f t="shared" si="2"/>
        <v>0</v>
      </c>
    </row>
    <row r="17">
      <c r="A17" s="7" t="s">
        <v>26</v>
      </c>
      <c r="B17" s="8" t="s">
        <v>10</v>
      </c>
      <c r="C17" s="9"/>
      <c r="D17" s="8" t="s">
        <v>10</v>
      </c>
      <c r="E17" s="10" t="str">
        <f t="shared" si="1"/>
        <v>[1]</v>
      </c>
      <c r="F17" s="15" t="s">
        <v>27</v>
      </c>
      <c r="G17" s="11">
        <v>0.0</v>
      </c>
      <c r="H17" s="11">
        <v>0.0</v>
      </c>
      <c r="I17" s="12">
        <f t="shared" si="2"/>
        <v>0</v>
      </c>
    </row>
    <row r="18">
      <c r="A18" s="7" t="s">
        <v>28</v>
      </c>
      <c r="B18" s="8" t="s">
        <v>10</v>
      </c>
      <c r="C18" s="9"/>
      <c r="D18" s="9"/>
      <c r="E18" s="10" t="str">
        <f t="shared" si="1"/>
        <v/>
      </c>
      <c r="F18" s="10"/>
      <c r="G18" s="11">
        <v>0.0</v>
      </c>
      <c r="H18" s="11">
        <v>0.0</v>
      </c>
      <c r="I18" s="12">
        <f t="shared" si="2"/>
        <v>0</v>
      </c>
    </row>
    <row r="19">
      <c r="A19" s="7" t="s">
        <v>29</v>
      </c>
      <c r="B19" s="8" t="s">
        <v>10</v>
      </c>
      <c r="C19" s="9"/>
      <c r="D19" s="9"/>
      <c r="E19" s="10" t="str">
        <f t="shared" si="1"/>
        <v/>
      </c>
      <c r="F19" s="10"/>
      <c r="G19" s="11">
        <v>0.0</v>
      </c>
      <c r="H19" s="11">
        <v>0.0</v>
      </c>
      <c r="I19" s="12">
        <f t="shared" si="2"/>
        <v>0</v>
      </c>
    </row>
    <row r="20">
      <c r="A20" s="7" t="s">
        <v>30</v>
      </c>
      <c r="B20" s="8" t="s">
        <v>10</v>
      </c>
      <c r="C20" s="9"/>
      <c r="D20" s="9"/>
      <c r="E20" s="10" t="str">
        <f t="shared" si="1"/>
        <v/>
      </c>
      <c r="F20" s="10"/>
      <c r="G20" s="11">
        <v>0.0</v>
      </c>
      <c r="H20" s="11">
        <v>0.0</v>
      </c>
      <c r="I20" s="12">
        <f t="shared" si="2"/>
        <v>0</v>
      </c>
    </row>
    <row r="21">
      <c r="A21" s="7" t="s">
        <v>31</v>
      </c>
      <c r="B21" s="8" t="s">
        <v>10</v>
      </c>
      <c r="C21" s="9"/>
      <c r="D21" s="9"/>
      <c r="E21" s="10" t="str">
        <f t="shared" si="1"/>
        <v/>
      </c>
      <c r="F21" s="10"/>
      <c r="G21" s="11">
        <v>0.0</v>
      </c>
      <c r="H21" s="11">
        <v>0.0</v>
      </c>
      <c r="I21" s="12">
        <f t="shared" si="2"/>
        <v>0</v>
      </c>
    </row>
    <row r="22">
      <c r="A22" s="7" t="s">
        <v>32</v>
      </c>
      <c r="B22" s="8" t="s">
        <v>10</v>
      </c>
      <c r="C22" s="9"/>
      <c r="D22" s="9"/>
      <c r="E22" s="10" t="str">
        <f t="shared" si="1"/>
        <v/>
      </c>
      <c r="F22" s="10"/>
      <c r="G22" s="11">
        <v>0.0</v>
      </c>
      <c r="H22" s="11">
        <v>0.0</v>
      </c>
      <c r="I22" s="12">
        <f t="shared" si="2"/>
        <v>0</v>
      </c>
    </row>
    <row r="23">
      <c r="A23" s="7" t="s">
        <v>33</v>
      </c>
      <c r="B23" s="8" t="s">
        <v>10</v>
      </c>
      <c r="C23" s="9"/>
      <c r="D23" s="9"/>
      <c r="E23" s="10" t="str">
        <f t="shared" si="1"/>
        <v/>
      </c>
      <c r="F23" s="10"/>
      <c r="G23" s="11">
        <v>0.0</v>
      </c>
      <c r="H23" s="11">
        <v>0.0</v>
      </c>
      <c r="I23" s="12">
        <f t="shared" si="2"/>
        <v>0</v>
      </c>
    </row>
    <row r="24">
      <c r="A24" s="7" t="s">
        <v>34</v>
      </c>
      <c r="B24" s="8" t="s">
        <v>10</v>
      </c>
      <c r="C24" s="9"/>
      <c r="D24" s="9"/>
      <c r="E24" s="10" t="str">
        <f t="shared" si="1"/>
        <v/>
      </c>
      <c r="F24" s="10"/>
      <c r="G24" s="11">
        <v>1.0</v>
      </c>
      <c r="H24" s="11">
        <v>1.0</v>
      </c>
      <c r="I24" s="12">
        <f t="shared" si="2"/>
        <v>0</v>
      </c>
    </row>
    <row r="25">
      <c r="A25" s="7" t="s">
        <v>35</v>
      </c>
      <c r="B25" s="8" t="s">
        <v>10</v>
      </c>
      <c r="C25" s="9"/>
      <c r="D25" s="9"/>
      <c r="E25" s="10" t="str">
        <f t="shared" si="1"/>
        <v/>
      </c>
      <c r="F25" s="10"/>
      <c r="G25" s="11">
        <v>0.0</v>
      </c>
      <c r="H25" s="11">
        <v>0.0</v>
      </c>
      <c r="I25" s="12">
        <f t="shared" si="2"/>
        <v>0</v>
      </c>
    </row>
    <row r="26">
      <c r="A26" s="7" t="s">
        <v>36</v>
      </c>
      <c r="B26" s="8" t="s">
        <v>10</v>
      </c>
      <c r="C26" s="8" t="s">
        <v>10</v>
      </c>
      <c r="D26" s="8" t="s">
        <v>10</v>
      </c>
      <c r="E26" s="10">
        <f t="shared" si="1"/>
        <v>1</v>
      </c>
      <c r="F26" s="10"/>
      <c r="G26" s="11">
        <v>0.0</v>
      </c>
      <c r="H26" s="11">
        <v>1.0</v>
      </c>
      <c r="I26" s="12">
        <f t="shared" si="2"/>
        <v>0</v>
      </c>
    </row>
    <row r="27">
      <c r="A27" s="7" t="s">
        <v>37</v>
      </c>
      <c r="B27" s="8" t="s">
        <v>10</v>
      </c>
      <c r="C27" s="9"/>
      <c r="D27" s="9"/>
      <c r="E27" s="10" t="str">
        <f t="shared" si="1"/>
        <v/>
      </c>
      <c r="F27" s="10"/>
      <c r="G27" s="11">
        <v>0.0</v>
      </c>
      <c r="H27" s="11">
        <v>0.0</v>
      </c>
      <c r="I27" s="12">
        <f t="shared" si="2"/>
        <v>0</v>
      </c>
    </row>
    <row r="28">
      <c r="A28" s="7" t="s">
        <v>38</v>
      </c>
      <c r="B28" s="8" t="s">
        <v>10</v>
      </c>
      <c r="C28" s="8" t="s">
        <v>10</v>
      </c>
      <c r="D28" s="8" t="s">
        <v>10</v>
      </c>
      <c r="E28" s="10">
        <f t="shared" si="1"/>
        <v>1</v>
      </c>
      <c r="F28" s="10"/>
      <c r="G28" s="11">
        <v>1.0</v>
      </c>
      <c r="H28" s="11">
        <v>1.0</v>
      </c>
      <c r="I28" s="12">
        <f t="shared" si="2"/>
        <v>0</v>
      </c>
    </row>
    <row r="29">
      <c r="A29" s="13" t="s">
        <v>39</v>
      </c>
      <c r="B29" s="14"/>
      <c r="C29" s="8" t="s">
        <v>10</v>
      </c>
      <c r="D29" s="8" t="s">
        <v>10</v>
      </c>
      <c r="E29" s="10" t="str">
        <f t="shared" si="1"/>
        <v/>
      </c>
      <c r="F29" s="15" t="s">
        <v>24</v>
      </c>
      <c r="H29" s="11">
        <v>0.0</v>
      </c>
      <c r="I29" s="12">
        <f t="shared" si="2"/>
        <v>0</v>
      </c>
    </row>
    <row r="30">
      <c r="A30" s="7" t="s">
        <v>40</v>
      </c>
      <c r="B30" s="8" t="s">
        <v>10</v>
      </c>
      <c r="C30" s="9"/>
      <c r="D30" s="9"/>
      <c r="E30" s="10" t="str">
        <f t="shared" si="1"/>
        <v/>
      </c>
      <c r="F30" s="10"/>
      <c r="G30" s="11">
        <v>0.0</v>
      </c>
      <c r="H30" s="11">
        <v>0.0</v>
      </c>
      <c r="I30" s="12">
        <f t="shared" si="2"/>
        <v>0</v>
      </c>
    </row>
    <row r="31">
      <c r="A31" s="7" t="s">
        <v>41</v>
      </c>
      <c r="B31" s="8" t="s">
        <v>10</v>
      </c>
      <c r="C31" s="9"/>
      <c r="D31" s="9"/>
      <c r="E31" s="10" t="str">
        <f t="shared" si="1"/>
        <v/>
      </c>
      <c r="F31" s="10"/>
      <c r="G31" s="11">
        <v>0.0</v>
      </c>
      <c r="H31" s="11">
        <v>1.0</v>
      </c>
      <c r="I31" s="12">
        <f t="shared" si="2"/>
        <v>0</v>
      </c>
    </row>
    <row r="32">
      <c r="A32" s="16" t="s">
        <v>42</v>
      </c>
      <c r="B32" s="8" t="s">
        <v>10</v>
      </c>
      <c r="C32" s="9"/>
      <c r="D32" s="9"/>
      <c r="E32" s="10" t="str">
        <f t="shared" si="1"/>
        <v/>
      </c>
      <c r="F32" s="10"/>
      <c r="G32" s="11">
        <v>0.0</v>
      </c>
      <c r="H32" s="11">
        <v>1.0</v>
      </c>
      <c r="I32" s="12">
        <f t="shared" si="2"/>
        <v>0</v>
      </c>
    </row>
    <row r="33">
      <c r="A33" s="7" t="s">
        <v>43</v>
      </c>
      <c r="B33" s="8" t="s">
        <v>10</v>
      </c>
      <c r="C33" s="9"/>
      <c r="D33" s="9"/>
      <c r="E33" s="10" t="str">
        <f t="shared" si="1"/>
        <v/>
      </c>
      <c r="F33" s="10"/>
      <c r="G33" s="11">
        <v>0.0</v>
      </c>
      <c r="H33" s="11">
        <v>0.0</v>
      </c>
      <c r="I33" s="12">
        <f t="shared" si="2"/>
        <v>0</v>
      </c>
    </row>
    <row r="34">
      <c r="A34" s="7" t="s">
        <v>44</v>
      </c>
      <c r="B34" s="8" t="s">
        <v>10</v>
      </c>
      <c r="C34" s="9"/>
      <c r="D34" s="9"/>
      <c r="E34" s="10" t="str">
        <f t="shared" si="1"/>
        <v/>
      </c>
      <c r="F34" s="10"/>
      <c r="G34" s="11">
        <v>0.0</v>
      </c>
      <c r="H34" s="11">
        <v>0.0</v>
      </c>
      <c r="I34" s="12">
        <f t="shared" si="2"/>
        <v>0</v>
      </c>
    </row>
    <row r="35">
      <c r="A35" s="7" t="s">
        <v>45</v>
      </c>
      <c r="B35" s="8" t="s">
        <v>10</v>
      </c>
      <c r="C35" s="8" t="s">
        <v>10</v>
      </c>
      <c r="D35" s="8" t="s">
        <v>10</v>
      </c>
      <c r="E35" s="10">
        <f t="shared" si="1"/>
        <v>1</v>
      </c>
      <c r="F35" s="10"/>
      <c r="G35" s="11">
        <v>0.0</v>
      </c>
      <c r="H35" s="11">
        <v>1.0</v>
      </c>
      <c r="I35" s="12">
        <f t="shared" si="2"/>
        <v>0</v>
      </c>
    </row>
    <row r="36">
      <c r="A36" s="7" t="s">
        <v>46</v>
      </c>
      <c r="B36" s="8" t="s">
        <v>10</v>
      </c>
      <c r="C36" s="9"/>
      <c r="D36" s="9"/>
      <c r="E36" s="10" t="str">
        <f t="shared" si="1"/>
        <v/>
      </c>
      <c r="F36" s="10"/>
      <c r="G36" s="11">
        <v>0.0</v>
      </c>
      <c r="H36" s="11">
        <v>0.0</v>
      </c>
      <c r="I36" s="12">
        <f t="shared" si="2"/>
        <v>0</v>
      </c>
    </row>
    <row r="37">
      <c r="A37" s="7" t="s">
        <v>47</v>
      </c>
      <c r="B37" s="8" t="s">
        <v>10</v>
      </c>
      <c r="C37" s="9"/>
      <c r="D37" s="9"/>
      <c r="E37" s="10" t="str">
        <f t="shared" si="1"/>
        <v/>
      </c>
      <c r="F37" s="10"/>
      <c r="G37" s="11">
        <v>0.0</v>
      </c>
      <c r="H37" s="11">
        <v>0.0</v>
      </c>
      <c r="I37" s="12">
        <f t="shared" si="2"/>
        <v>0</v>
      </c>
    </row>
    <row r="38">
      <c r="A38" s="7" t="s">
        <v>48</v>
      </c>
      <c r="B38" s="8" t="s">
        <v>10</v>
      </c>
      <c r="C38" s="9"/>
      <c r="D38" s="9"/>
      <c r="E38" s="10" t="str">
        <f t="shared" si="1"/>
        <v/>
      </c>
      <c r="F38" s="10"/>
      <c r="G38" s="11">
        <v>0.0</v>
      </c>
      <c r="H38" s="11">
        <v>0.0</v>
      </c>
      <c r="I38" s="12">
        <f t="shared" si="2"/>
        <v>0</v>
      </c>
    </row>
    <row r="39">
      <c r="A39" s="7" t="s">
        <v>49</v>
      </c>
      <c r="B39" s="8" t="s">
        <v>10</v>
      </c>
      <c r="C39" s="9"/>
      <c r="D39" s="9"/>
      <c r="E39" s="10" t="str">
        <f t="shared" si="1"/>
        <v/>
      </c>
      <c r="F39" s="10"/>
      <c r="G39" s="11">
        <v>0.0</v>
      </c>
      <c r="H39" s="11">
        <v>0.0</v>
      </c>
      <c r="I39" s="12">
        <f t="shared" si="2"/>
        <v>0</v>
      </c>
    </row>
    <row r="40">
      <c r="A40" s="7" t="s">
        <v>50</v>
      </c>
      <c r="B40" s="8" t="s">
        <v>10</v>
      </c>
      <c r="C40" s="9"/>
      <c r="D40" s="9"/>
      <c r="E40" s="10" t="str">
        <f t="shared" si="1"/>
        <v/>
      </c>
      <c r="F40" s="10"/>
      <c r="G40" s="11">
        <v>0.0</v>
      </c>
      <c r="H40" s="11">
        <v>0.0</v>
      </c>
      <c r="I40" s="12">
        <f t="shared" si="2"/>
        <v>0</v>
      </c>
    </row>
    <row r="41">
      <c r="A41" s="7" t="s">
        <v>51</v>
      </c>
      <c r="B41" s="8" t="s">
        <v>10</v>
      </c>
      <c r="C41" s="9"/>
      <c r="D41" s="9"/>
      <c r="E41" s="10" t="str">
        <f t="shared" si="1"/>
        <v/>
      </c>
      <c r="F41" s="10"/>
      <c r="G41" s="11">
        <v>1.0</v>
      </c>
      <c r="H41" s="11">
        <v>0.0</v>
      </c>
      <c r="I41" s="12">
        <f t="shared" si="2"/>
        <v>0</v>
      </c>
    </row>
    <row r="42">
      <c r="A42" s="7" t="s">
        <v>52</v>
      </c>
      <c r="B42" s="8" t="s">
        <v>10</v>
      </c>
      <c r="C42" s="9"/>
      <c r="D42" s="9"/>
      <c r="E42" s="10" t="str">
        <f t="shared" si="1"/>
        <v/>
      </c>
      <c r="F42" s="10"/>
      <c r="G42" s="11">
        <v>0.0</v>
      </c>
      <c r="H42" s="11">
        <v>0.0</v>
      </c>
      <c r="I42" s="12">
        <f t="shared" si="2"/>
        <v>0</v>
      </c>
    </row>
    <row r="43">
      <c r="A43" s="7" t="s">
        <v>53</v>
      </c>
      <c r="B43" s="8" t="s">
        <v>10</v>
      </c>
      <c r="C43" s="9"/>
      <c r="D43" s="9"/>
      <c r="E43" s="10" t="str">
        <f t="shared" si="1"/>
        <v/>
      </c>
      <c r="F43" s="10"/>
      <c r="G43" s="11">
        <v>0.0</v>
      </c>
      <c r="H43" s="11">
        <v>0.0</v>
      </c>
      <c r="I43" s="12">
        <f t="shared" si="2"/>
        <v>0</v>
      </c>
    </row>
    <row r="44">
      <c r="A44" s="7" t="s">
        <v>54</v>
      </c>
      <c r="B44" s="8" t="s">
        <v>10</v>
      </c>
      <c r="C44" s="9"/>
      <c r="D44" s="9"/>
      <c r="E44" s="10" t="str">
        <f t="shared" si="1"/>
        <v/>
      </c>
      <c r="F44" s="10"/>
      <c r="G44" s="11">
        <v>1.0</v>
      </c>
      <c r="H44" s="11">
        <v>0.0</v>
      </c>
      <c r="I44" s="12">
        <f t="shared" si="2"/>
        <v>0</v>
      </c>
    </row>
    <row r="45">
      <c r="A45" s="7" t="s">
        <v>55</v>
      </c>
      <c r="B45" s="8" t="s">
        <v>10</v>
      </c>
      <c r="C45" s="8" t="s">
        <v>10</v>
      </c>
      <c r="D45" s="8" t="s">
        <v>10</v>
      </c>
      <c r="E45" s="10">
        <f t="shared" si="1"/>
        <v>1</v>
      </c>
      <c r="F45" s="10"/>
      <c r="G45" s="11">
        <v>0.0</v>
      </c>
      <c r="H45" s="11">
        <v>0.0</v>
      </c>
      <c r="I45" s="12">
        <f t="shared" si="2"/>
        <v>1</v>
      </c>
    </row>
    <row r="46">
      <c r="A46" s="7" t="s">
        <v>56</v>
      </c>
      <c r="B46" s="8" t="s">
        <v>10</v>
      </c>
      <c r="C46" s="9"/>
      <c r="D46" s="9"/>
      <c r="E46" s="10" t="str">
        <f t="shared" si="1"/>
        <v/>
      </c>
      <c r="F46" s="10"/>
      <c r="G46" s="11">
        <v>0.0</v>
      </c>
      <c r="H46" s="11">
        <v>0.0</v>
      </c>
      <c r="I46" s="12">
        <f t="shared" si="2"/>
        <v>0</v>
      </c>
    </row>
    <row r="47">
      <c r="A47" s="7" t="s">
        <v>57</v>
      </c>
      <c r="B47" s="8" t="s">
        <v>10</v>
      </c>
      <c r="C47" s="9"/>
      <c r="D47" s="9"/>
      <c r="E47" s="10" t="str">
        <f t="shared" si="1"/>
        <v/>
      </c>
      <c r="F47" s="10"/>
      <c r="G47" s="11">
        <v>0.0</v>
      </c>
      <c r="H47" s="11">
        <v>0.0</v>
      </c>
      <c r="I47" s="12">
        <f t="shared" si="2"/>
        <v>0</v>
      </c>
    </row>
    <row r="48">
      <c r="A48" s="7" t="s">
        <v>58</v>
      </c>
      <c r="B48" s="8" t="s">
        <v>10</v>
      </c>
      <c r="C48" s="9"/>
      <c r="D48" s="9"/>
      <c r="E48" s="10" t="str">
        <f t="shared" si="1"/>
        <v/>
      </c>
      <c r="F48" s="10"/>
      <c r="G48" s="11">
        <v>1.0</v>
      </c>
      <c r="H48" s="11">
        <v>1.0</v>
      </c>
      <c r="I48" s="12">
        <f t="shared" si="2"/>
        <v>0</v>
      </c>
    </row>
    <row r="49">
      <c r="A49" s="7" t="s">
        <v>59</v>
      </c>
      <c r="B49" s="8" t="s">
        <v>10</v>
      </c>
      <c r="C49" s="9"/>
      <c r="D49" s="9"/>
      <c r="E49" s="10" t="str">
        <f t="shared" si="1"/>
        <v/>
      </c>
      <c r="F49" s="10"/>
      <c r="G49" s="11">
        <v>0.0</v>
      </c>
      <c r="H49" s="11">
        <v>0.0</v>
      </c>
      <c r="I49" s="12">
        <f t="shared" si="2"/>
        <v>0</v>
      </c>
    </row>
    <row r="50">
      <c r="A50" s="7" t="s">
        <v>60</v>
      </c>
      <c r="B50" s="8" t="s">
        <v>10</v>
      </c>
      <c r="C50" s="9"/>
      <c r="D50" s="9"/>
      <c r="E50" s="10" t="str">
        <f t="shared" si="1"/>
        <v/>
      </c>
      <c r="F50" s="10"/>
      <c r="G50" s="11">
        <v>0.0</v>
      </c>
      <c r="H50" s="11">
        <v>0.0</v>
      </c>
      <c r="I50" s="12">
        <f t="shared" si="2"/>
        <v>0</v>
      </c>
    </row>
    <row r="51">
      <c r="A51" s="7" t="s">
        <v>61</v>
      </c>
      <c r="B51" s="8" t="s">
        <v>10</v>
      </c>
      <c r="C51" s="9"/>
      <c r="D51" s="9"/>
      <c r="E51" s="10" t="str">
        <f t="shared" si="1"/>
        <v/>
      </c>
      <c r="F51" s="10"/>
      <c r="G51" s="11">
        <v>0.0</v>
      </c>
      <c r="H51" s="11">
        <v>0.0</v>
      </c>
      <c r="I51" s="12">
        <f t="shared" si="2"/>
        <v>0</v>
      </c>
    </row>
    <row r="52">
      <c r="A52" s="7" t="s">
        <v>62</v>
      </c>
      <c r="B52" s="8" t="s">
        <v>10</v>
      </c>
      <c r="C52" s="8" t="s">
        <v>10</v>
      </c>
      <c r="D52" s="8" t="s">
        <v>10</v>
      </c>
      <c r="E52" s="10">
        <f t="shared" si="1"/>
        <v>1</v>
      </c>
      <c r="F52" s="10"/>
      <c r="G52" s="11">
        <v>1.0</v>
      </c>
      <c r="H52" s="11">
        <v>0.0</v>
      </c>
      <c r="I52" s="12">
        <f t="shared" si="2"/>
        <v>0</v>
      </c>
    </row>
    <row r="53">
      <c r="A53" s="13" t="s">
        <v>63</v>
      </c>
      <c r="B53" s="14"/>
      <c r="C53" s="8" t="s">
        <v>10</v>
      </c>
      <c r="D53" s="8" t="s">
        <v>10</v>
      </c>
      <c r="E53" s="10" t="str">
        <f t="shared" si="1"/>
        <v/>
      </c>
      <c r="F53" s="10"/>
      <c r="H53" s="11">
        <v>0.0</v>
      </c>
      <c r="I53" s="12">
        <f t="shared" si="2"/>
        <v>0</v>
      </c>
    </row>
    <row r="54">
      <c r="A54" s="7" t="s">
        <v>64</v>
      </c>
      <c r="B54" s="8" t="s">
        <v>10</v>
      </c>
      <c r="C54" s="9"/>
      <c r="D54" s="9"/>
      <c r="E54" s="10" t="str">
        <f t="shared" si="1"/>
        <v/>
      </c>
      <c r="F54" s="10"/>
      <c r="G54" s="11">
        <v>0.0</v>
      </c>
      <c r="H54" s="11">
        <v>0.0</v>
      </c>
      <c r="I54" s="12">
        <f t="shared" si="2"/>
        <v>0</v>
      </c>
    </row>
    <row r="55">
      <c r="A55" s="7" t="s">
        <v>65</v>
      </c>
      <c r="B55" s="8" t="s">
        <v>10</v>
      </c>
      <c r="C55" s="9"/>
      <c r="D55" s="9"/>
      <c r="E55" s="10" t="str">
        <f t="shared" si="1"/>
        <v/>
      </c>
      <c r="F55" s="10"/>
      <c r="G55" s="11">
        <v>0.0</v>
      </c>
      <c r="H55" s="11">
        <v>0.0</v>
      </c>
      <c r="I55" s="12">
        <f t="shared" si="2"/>
        <v>0</v>
      </c>
    </row>
    <row r="56">
      <c r="A56" s="7" t="s">
        <v>66</v>
      </c>
      <c r="B56" s="8" t="s">
        <v>10</v>
      </c>
      <c r="C56" s="9"/>
      <c r="D56" s="9"/>
      <c r="E56" s="10" t="str">
        <f t="shared" si="1"/>
        <v/>
      </c>
      <c r="F56" s="10"/>
      <c r="G56" s="11">
        <v>1.0</v>
      </c>
      <c r="H56" s="11">
        <v>1.0</v>
      </c>
      <c r="I56" s="12">
        <f t="shared" si="2"/>
        <v>0</v>
      </c>
    </row>
    <row r="57">
      <c r="A57" s="7" t="s">
        <v>67</v>
      </c>
      <c r="B57" s="8" t="s">
        <v>10</v>
      </c>
      <c r="C57" s="9"/>
      <c r="D57" s="9"/>
      <c r="E57" s="10" t="str">
        <f t="shared" si="1"/>
        <v/>
      </c>
      <c r="F57" s="10"/>
      <c r="G57" s="11">
        <v>0.0</v>
      </c>
      <c r="H57" s="11">
        <v>1.0</v>
      </c>
      <c r="I57" s="12">
        <f t="shared" si="2"/>
        <v>0</v>
      </c>
    </row>
    <row r="58">
      <c r="A58" s="7" t="s">
        <v>68</v>
      </c>
      <c r="B58" s="8" t="s">
        <v>10</v>
      </c>
      <c r="C58" s="9"/>
      <c r="D58" s="9"/>
      <c r="E58" s="10" t="str">
        <f t="shared" si="1"/>
        <v/>
      </c>
      <c r="F58" s="10"/>
      <c r="G58" s="11">
        <v>0.0</v>
      </c>
      <c r="H58" s="11">
        <v>0.0</v>
      </c>
      <c r="I58" s="12">
        <f t="shared" si="2"/>
        <v>0</v>
      </c>
    </row>
    <row r="59">
      <c r="A59" s="7" t="s">
        <v>69</v>
      </c>
      <c r="B59" s="8" t="s">
        <v>10</v>
      </c>
      <c r="C59" s="9"/>
      <c r="D59" s="9"/>
      <c r="E59" s="10" t="str">
        <f t="shared" si="1"/>
        <v/>
      </c>
      <c r="F59" s="10"/>
      <c r="G59" s="11">
        <v>0.0</v>
      </c>
      <c r="H59" s="11">
        <v>0.0</v>
      </c>
      <c r="I59" s="12">
        <f t="shared" si="2"/>
        <v>0</v>
      </c>
    </row>
    <row r="60">
      <c r="A60" s="7" t="s">
        <v>70</v>
      </c>
      <c r="B60" s="8" t="s">
        <v>10</v>
      </c>
      <c r="C60" s="9"/>
      <c r="D60" s="9"/>
      <c r="E60" s="10" t="str">
        <f t="shared" si="1"/>
        <v/>
      </c>
      <c r="F60" s="10"/>
      <c r="G60" s="11">
        <v>0.0</v>
      </c>
      <c r="H60" s="11">
        <v>0.0</v>
      </c>
      <c r="I60" s="12">
        <f t="shared" si="2"/>
        <v>0</v>
      </c>
    </row>
    <row r="61">
      <c r="A61" s="7" t="s">
        <v>71</v>
      </c>
      <c r="B61" s="8" t="s">
        <v>10</v>
      </c>
      <c r="C61" s="8" t="s">
        <v>10</v>
      </c>
      <c r="D61" s="8" t="s">
        <v>10</v>
      </c>
      <c r="E61" s="10">
        <f t="shared" si="1"/>
        <v>1</v>
      </c>
      <c r="F61" s="10"/>
      <c r="G61" s="11">
        <v>1.0</v>
      </c>
      <c r="H61" s="11">
        <v>0.0</v>
      </c>
      <c r="I61" s="12">
        <f t="shared" si="2"/>
        <v>0</v>
      </c>
    </row>
    <row r="62">
      <c r="A62" s="7" t="s">
        <v>72</v>
      </c>
      <c r="B62" s="8" t="s">
        <v>10</v>
      </c>
      <c r="C62" s="9"/>
      <c r="D62" s="9"/>
      <c r="E62" s="10" t="str">
        <f t="shared" si="1"/>
        <v/>
      </c>
      <c r="F62" s="10"/>
      <c r="G62" s="11">
        <v>0.0</v>
      </c>
      <c r="H62" s="11">
        <v>0.0</v>
      </c>
      <c r="I62" s="12">
        <f t="shared" si="2"/>
        <v>0</v>
      </c>
    </row>
    <row r="63">
      <c r="A63" s="7" t="s">
        <v>73</v>
      </c>
      <c r="B63" s="8" t="s">
        <v>10</v>
      </c>
      <c r="C63" s="8" t="s">
        <v>10</v>
      </c>
      <c r="D63" s="8" t="s">
        <v>10</v>
      </c>
      <c r="E63" s="10">
        <f t="shared" si="1"/>
        <v>1</v>
      </c>
      <c r="F63" s="10"/>
      <c r="G63" s="11">
        <v>0.0</v>
      </c>
      <c r="H63" s="11">
        <v>1.0</v>
      </c>
      <c r="I63" s="12">
        <f t="shared" si="2"/>
        <v>0</v>
      </c>
    </row>
    <row r="64">
      <c r="A64" s="7" t="s">
        <v>74</v>
      </c>
      <c r="B64" s="8" t="s">
        <v>10</v>
      </c>
      <c r="C64" s="9"/>
      <c r="D64" s="9"/>
      <c r="E64" s="10" t="str">
        <f t="shared" si="1"/>
        <v/>
      </c>
      <c r="F64" s="10"/>
      <c r="G64" s="11">
        <v>0.0</v>
      </c>
      <c r="H64" s="11">
        <v>0.0</v>
      </c>
      <c r="I64" s="12">
        <f t="shared" si="2"/>
        <v>0</v>
      </c>
    </row>
    <row r="65">
      <c r="A65" s="7" t="s">
        <v>75</v>
      </c>
      <c r="B65" s="8" t="s">
        <v>10</v>
      </c>
      <c r="C65" s="9"/>
      <c r="D65" s="9"/>
      <c r="E65" s="10" t="str">
        <f t="shared" si="1"/>
        <v/>
      </c>
      <c r="F65" s="10"/>
      <c r="G65" s="11">
        <v>0.0</v>
      </c>
      <c r="H65" s="11">
        <v>0.0</v>
      </c>
      <c r="I65" s="12">
        <f t="shared" si="2"/>
        <v>0</v>
      </c>
    </row>
    <row r="66">
      <c r="A66" s="7" t="s">
        <v>76</v>
      </c>
      <c r="B66" s="8" t="s">
        <v>10</v>
      </c>
      <c r="C66" s="9"/>
      <c r="D66" s="9"/>
      <c r="E66" s="10" t="str">
        <f t="shared" si="1"/>
        <v/>
      </c>
      <c r="F66" s="10"/>
      <c r="G66" s="11">
        <v>0.0</v>
      </c>
      <c r="H66" s="11">
        <v>0.0</v>
      </c>
      <c r="I66" s="12">
        <f t="shared" si="2"/>
        <v>0</v>
      </c>
    </row>
    <row r="67">
      <c r="A67" s="7" t="s">
        <v>77</v>
      </c>
      <c r="B67" s="8" t="s">
        <v>10</v>
      </c>
      <c r="C67" s="9"/>
      <c r="D67" s="9"/>
      <c r="E67" s="10" t="str">
        <f t="shared" si="1"/>
        <v/>
      </c>
      <c r="F67" s="10"/>
      <c r="G67" s="11">
        <v>0.0</v>
      </c>
      <c r="H67" s="11">
        <v>0.0</v>
      </c>
      <c r="I67" s="12">
        <f t="shared" si="2"/>
        <v>0</v>
      </c>
    </row>
    <row r="68">
      <c r="A68" s="7" t="s">
        <v>78</v>
      </c>
      <c r="B68" s="8" t="s">
        <v>10</v>
      </c>
      <c r="C68" s="9"/>
      <c r="D68" s="9"/>
      <c r="E68" s="10" t="str">
        <f t="shared" si="1"/>
        <v/>
      </c>
      <c r="F68" s="10"/>
      <c r="G68" s="11">
        <v>1.0</v>
      </c>
      <c r="H68" s="11">
        <v>0.0</v>
      </c>
      <c r="I68" s="12">
        <f t="shared" si="2"/>
        <v>0</v>
      </c>
    </row>
    <row r="69">
      <c r="A69" s="7" t="s">
        <v>79</v>
      </c>
      <c r="B69" s="8" t="s">
        <v>10</v>
      </c>
      <c r="C69" s="9"/>
      <c r="D69" s="9"/>
      <c r="E69" s="10" t="str">
        <f t="shared" si="1"/>
        <v/>
      </c>
      <c r="F69" s="10"/>
      <c r="G69" s="11">
        <v>0.0</v>
      </c>
      <c r="H69" s="11">
        <v>0.0</v>
      </c>
      <c r="I69" s="12">
        <f t="shared" si="2"/>
        <v>0</v>
      </c>
    </row>
    <row r="70">
      <c r="A70" s="7" t="s">
        <v>80</v>
      </c>
      <c r="B70" s="8" t="s">
        <v>10</v>
      </c>
      <c r="C70" s="9"/>
      <c r="D70" s="9"/>
      <c r="E70" s="10" t="str">
        <f t="shared" si="1"/>
        <v/>
      </c>
      <c r="F70" s="10"/>
      <c r="G70" s="11">
        <v>0.0</v>
      </c>
      <c r="H70" s="11">
        <v>1.0</v>
      </c>
      <c r="I70" s="12">
        <f t="shared" si="2"/>
        <v>0</v>
      </c>
    </row>
    <row r="71">
      <c r="A71" s="7" t="s">
        <v>81</v>
      </c>
      <c r="B71" s="8" t="s">
        <v>10</v>
      </c>
      <c r="C71" s="9"/>
      <c r="D71" s="9"/>
      <c r="E71" s="10" t="str">
        <f t="shared" si="1"/>
        <v/>
      </c>
      <c r="F71" s="10"/>
      <c r="G71" s="11">
        <v>0.0</v>
      </c>
      <c r="H71" s="11">
        <v>0.0</v>
      </c>
      <c r="I71" s="12">
        <f t="shared" si="2"/>
        <v>0</v>
      </c>
    </row>
    <row r="72">
      <c r="A72" s="7" t="s">
        <v>82</v>
      </c>
      <c r="B72" s="8" t="s">
        <v>10</v>
      </c>
      <c r="C72" s="8" t="s">
        <v>10</v>
      </c>
      <c r="D72" s="8" t="s">
        <v>10</v>
      </c>
      <c r="E72" s="10">
        <f t="shared" si="1"/>
        <v>1</v>
      </c>
      <c r="F72" s="10"/>
      <c r="G72" s="11">
        <v>0.0</v>
      </c>
      <c r="H72" s="11">
        <v>0.0</v>
      </c>
      <c r="I72" s="12">
        <f t="shared" si="2"/>
        <v>1</v>
      </c>
    </row>
    <row r="73">
      <c r="A73" s="7" t="s">
        <v>83</v>
      </c>
      <c r="B73" s="8" t="s">
        <v>10</v>
      </c>
      <c r="C73" s="8" t="s">
        <v>10</v>
      </c>
      <c r="D73" s="8" t="s">
        <v>10</v>
      </c>
      <c r="E73" s="10">
        <f t="shared" si="1"/>
        <v>1</v>
      </c>
      <c r="F73" s="10"/>
      <c r="G73" s="11">
        <v>0.0</v>
      </c>
      <c r="H73" s="11">
        <v>0.0</v>
      </c>
      <c r="I73" s="12">
        <f t="shared" si="2"/>
        <v>1</v>
      </c>
    </row>
    <row r="74">
      <c r="A74" s="7" t="s">
        <v>84</v>
      </c>
      <c r="B74" s="8" t="s">
        <v>10</v>
      </c>
      <c r="C74" s="9"/>
      <c r="D74" s="9"/>
      <c r="E74" s="10" t="str">
        <f t="shared" si="1"/>
        <v/>
      </c>
      <c r="F74" s="10"/>
      <c r="G74" s="11">
        <v>0.0</v>
      </c>
      <c r="H74" s="11">
        <v>0.0</v>
      </c>
      <c r="I74" s="12">
        <f t="shared" si="2"/>
        <v>0</v>
      </c>
    </row>
    <row r="75">
      <c r="A75" s="7" t="s">
        <v>85</v>
      </c>
      <c r="B75" s="8" t="s">
        <v>10</v>
      </c>
      <c r="C75" s="9"/>
      <c r="D75" s="9"/>
      <c r="E75" s="10" t="str">
        <f t="shared" si="1"/>
        <v/>
      </c>
      <c r="F75" s="10"/>
      <c r="G75" s="11">
        <v>0.0</v>
      </c>
      <c r="H75" s="11">
        <v>1.0</v>
      </c>
      <c r="I75" s="12">
        <f t="shared" si="2"/>
        <v>0</v>
      </c>
    </row>
    <row r="76">
      <c r="A76" s="7" t="s">
        <v>86</v>
      </c>
      <c r="B76" s="8" t="s">
        <v>10</v>
      </c>
      <c r="C76" s="9"/>
      <c r="D76" s="9"/>
      <c r="E76" s="10" t="str">
        <f t="shared" si="1"/>
        <v/>
      </c>
      <c r="F76" s="10"/>
      <c r="G76" s="11">
        <v>0.0</v>
      </c>
      <c r="H76" s="11">
        <v>0.0</v>
      </c>
      <c r="I76" s="12">
        <f t="shared" si="2"/>
        <v>0</v>
      </c>
    </row>
    <row r="77">
      <c r="A77" s="7" t="s">
        <v>87</v>
      </c>
      <c r="B77" s="14"/>
      <c r="C77" s="9"/>
      <c r="D77" s="8" t="s">
        <v>10</v>
      </c>
      <c r="E77" s="10" t="str">
        <f t="shared" si="1"/>
        <v/>
      </c>
      <c r="F77" s="15" t="s">
        <v>24</v>
      </c>
      <c r="H77" s="11">
        <v>0.0</v>
      </c>
      <c r="I77" s="12">
        <f t="shared" si="2"/>
        <v>0</v>
      </c>
    </row>
    <row r="78">
      <c r="A78" s="7" t="s">
        <v>88</v>
      </c>
      <c r="B78" s="8" t="s">
        <v>10</v>
      </c>
      <c r="C78" s="8" t="s">
        <v>10</v>
      </c>
      <c r="D78" s="8" t="s">
        <v>10</v>
      </c>
      <c r="E78" s="10">
        <f t="shared" si="1"/>
        <v>1</v>
      </c>
      <c r="F78" s="10"/>
      <c r="G78" s="11">
        <v>0.0</v>
      </c>
      <c r="H78" s="11">
        <v>0.0</v>
      </c>
      <c r="I78" s="12">
        <f t="shared" si="2"/>
        <v>1</v>
      </c>
    </row>
    <row r="79">
      <c r="A79" s="7" t="s">
        <v>89</v>
      </c>
      <c r="B79" s="8" t="s">
        <v>10</v>
      </c>
      <c r="C79" s="9"/>
      <c r="D79" s="9"/>
      <c r="E79" s="10" t="str">
        <f t="shared" si="1"/>
        <v/>
      </c>
      <c r="F79" s="10"/>
      <c r="G79" s="11">
        <v>0.0</v>
      </c>
      <c r="H79" s="11">
        <v>0.0</v>
      </c>
      <c r="I79" s="12">
        <f t="shared" si="2"/>
        <v>0</v>
      </c>
    </row>
    <row r="80">
      <c r="A80" s="7" t="s">
        <v>90</v>
      </c>
      <c r="B80" s="8" t="s">
        <v>10</v>
      </c>
      <c r="C80" s="9"/>
      <c r="D80" s="9"/>
      <c r="E80" s="10" t="str">
        <f t="shared" si="1"/>
        <v/>
      </c>
      <c r="F80" s="10"/>
      <c r="G80" s="11">
        <v>0.0</v>
      </c>
      <c r="H80" s="11">
        <v>1.0</v>
      </c>
      <c r="I80" s="12">
        <f t="shared" si="2"/>
        <v>0</v>
      </c>
    </row>
    <row r="81">
      <c r="A81" s="7" t="s">
        <v>91</v>
      </c>
      <c r="B81" s="8" t="s">
        <v>10</v>
      </c>
      <c r="C81" s="9"/>
      <c r="D81" s="9"/>
      <c r="E81" s="10" t="str">
        <f t="shared" si="1"/>
        <v/>
      </c>
      <c r="F81" s="10"/>
      <c r="G81" s="11">
        <v>0.0</v>
      </c>
      <c r="H81" s="11">
        <v>0.0</v>
      </c>
      <c r="I81" s="12">
        <f t="shared" si="2"/>
        <v>0</v>
      </c>
    </row>
    <row r="82">
      <c r="A82" s="7" t="s">
        <v>92</v>
      </c>
      <c r="B82" s="8" t="s">
        <v>10</v>
      </c>
      <c r="C82" s="9"/>
      <c r="D82" s="9"/>
      <c r="E82" s="10" t="str">
        <f t="shared" si="1"/>
        <v/>
      </c>
      <c r="F82" s="10"/>
      <c r="G82" s="11">
        <v>0.0</v>
      </c>
      <c r="H82" s="11">
        <v>0.0</v>
      </c>
      <c r="I82" s="12">
        <f t="shared" si="2"/>
        <v>0</v>
      </c>
    </row>
    <row r="83">
      <c r="A83" s="7" t="s">
        <v>93</v>
      </c>
      <c r="B83" s="8" t="s">
        <v>10</v>
      </c>
      <c r="C83" s="9"/>
      <c r="D83" s="9"/>
      <c r="E83" s="10" t="str">
        <f t="shared" si="1"/>
        <v/>
      </c>
      <c r="F83" s="10"/>
      <c r="G83" s="11">
        <v>0.0</v>
      </c>
      <c r="H83" s="11">
        <v>0.0</v>
      </c>
      <c r="I83" s="12">
        <f t="shared" si="2"/>
        <v>0</v>
      </c>
    </row>
    <row r="84">
      <c r="A84" s="7" t="s">
        <v>94</v>
      </c>
      <c r="B84" s="8" t="s">
        <v>10</v>
      </c>
      <c r="C84" s="9"/>
      <c r="D84" s="9"/>
      <c r="E84" s="10" t="str">
        <f t="shared" si="1"/>
        <v/>
      </c>
      <c r="F84" s="10"/>
      <c r="G84" s="11">
        <v>0.0</v>
      </c>
      <c r="H84" s="11">
        <v>0.0</v>
      </c>
      <c r="I84" s="12">
        <f t="shared" si="2"/>
        <v>0</v>
      </c>
    </row>
    <row r="85">
      <c r="A85" s="7" t="s">
        <v>95</v>
      </c>
      <c r="B85" s="8" t="s">
        <v>10</v>
      </c>
      <c r="C85" s="9"/>
      <c r="D85" s="9"/>
      <c r="E85" s="10" t="str">
        <f t="shared" si="1"/>
        <v/>
      </c>
      <c r="F85" s="10"/>
      <c r="G85" s="11">
        <v>0.0</v>
      </c>
      <c r="H85" s="11">
        <v>0.0</v>
      </c>
      <c r="I85" s="12">
        <f t="shared" si="2"/>
        <v>0</v>
      </c>
    </row>
    <row r="86">
      <c r="A86" s="7" t="s">
        <v>96</v>
      </c>
      <c r="B86" s="8" t="s">
        <v>10</v>
      </c>
      <c r="C86" s="8" t="s">
        <v>10</v>
      </c>
      <c r="D86" s="8" t="s">
        <v>10</v>
      </c>
      <c r="E86" s="10">
        <f t="shared" si="1"/>
        <v>1</v>
      </c>
      <c r="F86" s="10"/>
      <c r="G86" s="11">
        <v>0.0</v>
      </c>
      <c r="H86" s="11">
        <v>0.0</v>
      </c>
      <c r="I86" s="12">
        <f t="shared" si="2"/>
        <v>1</v>
      </c>
    </row>
    <row r="87">
      <c r="A87" s="7" t="s">
        <v>97</v>
      </c>
      <c r="B87" s="8" t="s">
        <v>10</v>
      </c>
      <c r="C87" s="9"/>
      <c r="D87" s="9"/>
      <c r="E87" s="10" t="str">
        <f t="shared" si="1"/>
        <v/>
      </c>
      <c r="F87" s="10"/>
      <c r="G87" s="11">
        <v>0.0</v>
      </c>
      <c r="H87" s="11">
        <v>1.0</v>
      </c>
      <c r="I87" s="12">
        <f t="shared" si="2"/>
        <v>0</v>
      </c>
    </row>
    <row r="88">
      <c r="A88" s="7" t="s">
        <v>98</v>
      </c>
      <c r="B88" s="8" t="s">
        <v>10</v>
      </c>
      <c r="C88" s="8" t="s">
        <v>10</v>
      </c>
      <c r="D88" s="8" t="s">
        <v>10</v>
      </c>
      <c r="E88" s="10">
        <f t="shared" si="1"/>
        <v>1</v>
      </c>
      <c r="F88" s="10"/>
      <c r="G88" s="11">
        <v>0.0</v>
      </c>
      <c r="H88" s="11">
        <v>0.0</v>
      </c>
      <c r="I88" s="12">
        <f t="shared" si="2"/>
        <v>1</v>
      </c>
    </row>
    <row r="89">
      <c r="A89" s="7" t="s">
        <v>99</v>
      </c>
      <c r="B89" s="8" t="s">
        <v>10</v>
      </c>
      <c r="C89" s="8" t="s">
        <v>10</v>
      </c>
      <c r="D89" s="8" t="s">
        <v>10</v>
      </c>
      <c r="E89" s="10">
        <f t="shared" si="1"/>
        <v>1</v>
      </c>
      <c r="F89" s="10"/>
      <c r="G89" s="11">
        <v>0.0</v>
      </c>
      <c r="H89" s="11">
        <v>0.0</v>
      </c>
      <c r="I89" s="12">
        <f t="shared" si="2"/>
        <v>1</v>
      </c>
    </row>
    <row r="90">
      <c r="A90" s="7" t="s">
        <v>100</v>
      </c>
      <c r="B90" s="8" t="s">
        <v>10</v>
      </c>
      <c r="C90" s="8" t="s">
        <v>10</v>
      </c>
      <c r="D90" s="8" t="s">
        <v>10</v>
      </c>
      <c r="E90" s="10">
        <f t="shared" si="1"/>
        <v>1</v>
      </c>
      <c r="F90" s="10"/>
      <c r="G90" s="11">
        <v>0.0</v>
      </c>
      <c r="H90" s="11">
        <v>0.0</v>
      </c>
      <c r="I90" s="12">
        <f t="shared" si="2"/>
        <v>1</v>
      </c>
    </row>
    <row r="91">
      <c r="A91" s="7" t="s">
        <v>101</v>
      </c>
      <c r="B91" s="8" t="s">
        <v>10</v>
      </c>
      <c r="C91" s="9"/>
      <c r="D91" s="8" t="s">
        <v>10</v>
      </c>
      <c r="E91" s="10" t="str">
        <f t="shared" si="1"/>
        <v>[1]</v>
      </c>
      <c r="F91" s="10"/>
      <c r="G91" s="11">
        <v>0.0</v>
      </c>
      <c r="H91" s="11">
        <v>0.0</v>
      </c>
      <c r="I91" s="12">
        <f t="shared" si="2"/>
        <v>0</v>
      </c>
    </row>
    <row r="92">
      <c r="A92" s="7" t="s">
        <v>102</v>
      </c>
      <c r="B92" s="8" t="s">
        <v>10</v>
      </c>
      <c r="C92" s="9"/>
      <c r="D92" s="9"/>
      <c r="E92" s="10" t="str">
        <f t="shared" si="1"/>
        <v/>
      </c>
      <c r="F92" s="10"/>
      <c r="G92" s="11">
        <v>1.0</v>
      </c>
      <c r="H92" s="11">
        <v>0.0</v>
      </c>
      <c r="I92" s="12">
        <f t="shared" si="2"/>
        <v>0</v>
      </c>
    </row>
    <row r="93">
      <c r="A93" s="7" t="s">
        <v>103</v>
      </c>
      <c r="B93" s="8" t="s">
        <v>10</v>
      </c>
      <c r="C93" s="9"/>
      <c r="D93" s="9"/>
      <c r="E93" s="10" t="str">
        <f t="shared" si="1"/>
        <v/>
      </c>
      <c r="F93" s="10"/>
      <c r="G93" s="11">
        <v>0.0</v>
      </c>
      <c r="H93" s="11">
        <v>0.0</v>
      </c>
      <c r="I93" s="12">
        <f t="shared" si="2"/>
        <v>0</v>
      </c>
    </row>
    <row r="94">
      <c r="A94" s="7" t="s">
        <v>104</v>
      </c>
      <c r="B94" s="8" t="s">
        <v>10</v>
      </c>
      <c r="C94" s="9"/>
      <c r="D94" s="9"/>
      <c r="E94" s="10" t="str">
        <f t="shared" si="1"/>
        <v/>
      </c>
      <c r="F94" s="10"/>
      <c r="G94" s="11">
        <v>0.0</v>
      </c>
      <c r="H94" s="11">
        <v>0.0</v>
      </c>
      <c r="I94" s="12">
        <f t="shared" si="2"/>
        <v>0</v>
      </c>
    </row>
    <row r="95">
      <c r="A95" s="7" t="s">
        <v>105</v>
      </c>
      <c r="B95" s="8" t="s">
        <v>10</v>
      </c>
      <c r="C95" s="9"/>
      <c r="D95" s="9"/>
      <c r="E95" s="10" t="str">
        <f t="shared" si="1"/>
        <v/>
      </c>
      <c r="F95" s="10"/>
      <c r="G95" s="11">
        <v>0.0</v>
      </c>
      <c r="H95" s="11">
        <v>0.0</v>
      </c>
      <c r="I95" s="12">
        <f t="shared" si="2"/>
        <v>0</v>
      </c>
    </row>
    <row r="96">
      <c r="A96" s="7" t="s">
        <v>106</v>
      </c>
      <c r="B96" s="8" t="s">
        <v>10</v>
      </c>
      <c r="C96" s="9"/>
      <c r="D96" s="9"/>
      <c r="E96" s="10" t="str">
        <f t="shared" si="1"/>
        <v/>
      </c>
      <c r="F96" s="10"/>
      <c r="G96" s="11">
        <v>0.0</v>
      </c>
      <c r="H96" s="11">
        <v>0.0</v>
      </c>
      <c r="I96" s="12">
        <f t="shared" si="2"/>
        <v>0</v>
      </c>
    </row>
    <row r="97">
      <c r="A97" s="7" t="s">
        <v>107</v>
      </c>
      <c r="B97" s="8" t="s">
        <v>10</v>
      </c>
      <c r="C97" s="8" t="s">
        <v>10</v>
      </c>
      <c r="D97" s="8" t="s">
        <v>10</v>
      </c>
      <c r="E97" s="10">
        <f t="shared" si="1"/>
        <v>1</v>
      </c>
      <c r="F97" s="10"/>
      <c r="G97" s="11">
        <v>0.0</v>
      </c>
      <c r="H97" s="11">
        <v>1.0</v>
      </c>
      <c r="I97" s="12">
        <f t="shared" si="2"/>
        <v>0</v>
      </c>
    </row>
    <row r="98">
      <c r="A98" s="7" t="s">
        <v>108</v>
      </c>
      <c r="B98" s="8" t="s">
        <v>10</v>
      </c>
      <c r="C98" s="9"/>
      <c r="D98" s="9"/>
      <c r="E98" s="10" t="str">
        <f t="shared" si="1"/>
        <v/>
      </c>
      <c r="F98" s="10"/>
      <c r="G98" s="11">
        <v>0.0</v>
      </c>
      <c r="H98" s="11">
        <v>0.0</v>
      </c>
      <c r="I98" s="12">
        <f t="shared" si="2"/>
        <v>0</v>
      </c>
    </row>
    <row r="99">
      <c r="A99" s="7" t="s">
        <v>109</v>
      </c>
      <c r="B99" s="8" t="s">
        <v>10</v>
      </c>
      <c r="C99" s="9"/>
      <c r="D99" s="9"/>
      <c r="E99" s="10" t="str">
        <f t="shared" si="1"/>
        <v/>
      </c>
      <c r="F99" s="10"/>
      <c r="G99" s="11">
        <v>0.0</v>
      </c>
      <c r="H99" s="11">
        <v>0.0</v>
      </c>
      <c r="I99" s="12">
        <f t="shared" si="2"/>
        <v>0</v>
      </c>
    </row>
    <row r="100">
      <c r="A100" s="7" t="s">
        <v>110</v>
      </c>
      <c r="B100" s="8" t="s">
        <v>10</v>
      </c>
      <c r="C100" s="9"/>
      <c r="D100" s="9"/>
      <c r="E100" s="10" t="str">
        <f t="shared" si="1"/>
        <v/>
      </c>
      <c r="F100" s="10"/>
      <c r="G100" s="11">
        <v>1.0</v>
      </c>
      <c r="H100" s="11">
        <v>0.0</v>
      </c>
      <c r="I100" s="12">
        <f t="shared" si="2"/>
        <v>0</v>
      </c>
    </row>
    <row r="101">
      <c r="A101" s="7" t="s">
        <v>111</v>
      </c>
      <c r="B101" s="8" t="s">
        <v>10</v>
      </c>
      <c r="C101" s="9"/>
      <c r="D101" s="9"/>
      <c r="E101" s="10" t="str">
        <f t="shared" si="1"/>
        <v/>
      </c>
      <c r="F101" s="10"/>
      <c r="G101" s="11">
        <v>0.0</v>
      </c>
      <c r="H101" s="11">
        <v>0.0</v>
      </c>
      <c r="I101" s="12">
        <f t="shared" si="2"/>
        <v>0</v>
      </c>
    </row>
    <row r="102">
      <c r="A102" s="7" t="s">
        <v>112</v>
      </c>
      <c r="B102" s="8" t="s">
        <v>10</v>
      </c>
      <c r="C102" s="9"/>
      <c r="D102" s="9"/>
      <c r="E102" s="10" t="str">
        <f t="shared" si="1"/>
        <v/>
      </c>
      <c r="F102" s="10"/>
      <c r="G102" s="11">
        <v>1.0</v>
      </c>
      <c r="H102" s="11">
        <v>1.0</v>
      </c>
      <c r="I102" s="12">
        <f t="shared" si="2"/>
        <v>0</v>
      </c>
    </row>
    <row r="103">
      <c r="A103" s="7" t="s">
        <v>113</v>
      </c>
      <c r="B103" s="8" t="s">
        <v>10</v>
      </c>
      <c r="C103" s="9"/>
      <c r="D103" s="9"/>
      <c r="E103" s="10" t="str">
        <f t="shared" si="1"/>
        <v/>
      </c>
      <c r="F103" s="10"/>
      <c r="G103" s="11">
        <v>0.0</v>
      </c>
      <c r="H103" s="11">
        <v>1.0</v>
      </c>
      <c r="I103" s="12">
        <f t="shared" si="2"/>
        <v>0</v>
      </c>
    </row>
    <row r="104">
      <c r="A104" s="7" t="s">
        <v>114</v>
      </c>
      <c r="B104" s="8" t="s">
        <v>10</v>
      </c>
      <c r="C104" s="8" t="s">
        <v>10</v>
      </c>
      <c r="D104" s="8" t="s">
        <v>10</v>
      </c>
      <c r="E104" s="10">
        <f t="shared" si="1"/>
        <v>1</v>
      </c>
      <c r="F104" s="10"/>
      <c r="G104" s="11">
        <v>0.0</v>
      </c>
      <c r="H104" s="11">
        <v>0.0</v>
      </c>
      <c r="I104" s="12">
        <f t="shared" si="2"/>
        <v>1</v>
      </c>
    </row>
    <row r="105">
      <c r="A105" s="7" t="s">
        <v>115</v>
      </c>
      <c r="B105" s="8" t="s">
        <v>10</v>
      </c>
      <c r="C105" s="9"/>
      <c r="D105" s="9"/>
      <c r="E105" s="10" t="str">
        <f t="shared" si="1"/>
        <v/>
      </c>
      <c r="F105" s="10"/>
      <c r="G105" s="11">
        <v>1.0</v>
      </c>
      <c r="H105" s="11">
        <v>0.0</v>
      </c>
      <c r="I105" s="12">
        <f t="shared" si="2"/>
        <v>0</v>
      </c>
    </row>
    <row r="106">
      <c r="A106" s="7" t="s">
        <v>116</v>
      </c>
      <c r="B106" s="8" t="s">
        <v>10</v>
      </c>
      <c r="C106" s="9"/>
      <c r="D106" s="9"/>
      <c r="E106" s="10" t="str">
        <f t="shared" si="1"/>
        <v/>
      </c>
      <c r="F106" s="10"/>
      <c r="G106" s="11">
        <v>0.0</v>
      </c>
      <c r="H106" s="11">
        <v>0.0</v>
      </c>
      <c r="I106" s="12">
        <f t="shared" si="2"/>
        <v>0</v>
      </c>
    </row>
    <row r="107">
      <c r="A107" s="7" t="s">
        <v>117</v>
      </c>
      <c r="B107" s="8" t="s">
        <v>10</v>
      </c>
      <c r="C107" s="9"/>
      <c r="D107" s="9"/>
      <c r="E107" s="10" t="str">
        <f t="shared" si="1"/>
        <v/>
      </c>
      <c r="F107" s="10"/>
      <c r="G107" s="11">
        <v>1.0</v>
      </c>
      <c r="H107" s="11">
        <v>1.0</v>
      </c>
      <c r="I107" s="12">
        <f t="shared" si="2"/>
        <v>0</v>
      </c>
    </row>
    <row r="108">
      <c r="A108" s="7" t="s">
        <v>118</v>
      </c>
      <c r="B108" s="8" t="s">
        <v>10</v>
      </c>
      <c r="C108" s="9"/>
      <c r="D108" s="9"/>
      <c r="E108" s="10" t="str">
        <f t="shared" si="1"/>
        <v/>
      </c>
      <c r="F108" s="10"/>
      <c r="G108" s="11">
        <v>0.0</v>
      </c>
      <c r="H108" s="11">
        <v>0.0</v>
      </c>
      <c r="I108" s="12">
        <f t="shared" si="2"/>
        <v>0</v>
      </c>
    </row>
    <row r="109">
      <c r="A109" s="7" t="s">
        <v>119</v>
      </c>
      <c r="B109" s="8" t="s">
        <v>10</v>
      </c>
      <c r="C109" s="9"/>
      <c r="D109" s="8" t="s">
        <v>10</v>
      </c>
      <c r="E109" s="10" t="str">
        <f t="shared" si="1"/>
        <v>[1]</v>
      </c>
      <c r="F109" s="15" t="s">
        <v>120</v>
      </c>
      <c r="G109" s="11">
        <v>0.0</v>
      </c>
      <c r="H109" s="11">
        <v>0.0</v>
      </c>
      <c r="I109" s="12">
        <f t="shared" si="2"/>
        <v>0</v>
      </c>
    </row>
    <row r="110">
      <c r="A110" s="7" t="s">
        <v>121</v>
      </c>
      <c r="B110" s="8" t="s">
        <v>10</v>
      </c>
      <c r="C110" s="9"/>
      <c r="D110" s="9"/>
      <c r="E110" s="10" t="str">
        <f t="shared" si="1"/>
        <v/>
      </c>
      <c r="F110" s="10"/>
      <c r="G110" s="11">
        <v>0.0</v>
      </c>
      <c r="H110" s="11">
        <v>0.0</v>
      </c>
      <c r="I110" s="12">
        <f t="shared" si="2"/>
        <v>0</v>
      </c>
    </row>
    <row r="111">
      <c r="A111" s="7" t="s">
        <v>122</v>
      </c>
      <c r="B111" s="8" t="s">
        <v>10</v>
      </c>
      <c r="C111" s="9"/>
      <c r="D111" s="9"/>
      <c r="E111" s="10" t="str">
        <f t="shared" si="1"/>
        <v/>
      </c>
      <c r="F111" s="10"/>
      <c r="G111" s="11">
        <v>1.0</v>
      </c>
      <c r="H111" s="11">
        <v>1.0</v>
      </c>
      <c r="I111" s="12">
        <f t="shared" si="2"/>
        <v>0</v>
      </c>
    </row>
    <row r="112">
      <c r="A112" s="7" t="s">
        <v>123</v>
      </c>
      <c r="B112" s="8" t="s">
        <v>10</v>
      </c>
      <c r="C112" s="9"/>
      <c r="D112" s="9"/>
      <c r="E112" s="10" t="str">
        <f t="shared" si="1"/>
        <v/>
      </c>
      <c r="F112" s="10"/>
      <c r="G112" s="11">
        <v>0.0</v>
      </c>
      <c r="H112" s="11">
        <v>0.0</v>
      </c>
      <c r="I112" s="12">
        <f t="shared" si="2"/>
        <v>0</v>
      </c>
    </row>
    <row r="113">
      <c r="A113" s="7" t="s">
        <v>124</v>
      </c>
      <c r="B113" s="8" t="s">
        <v>10</v>
      </c>
      <c r="C113" s="9"/>
      <c r="D113" s="9"/>
      <c r="E113" s="10" t="str">
        <f t="shared" si="1"/>
        <v/>
      </c>
      <c r="F113" s="10"/>
      <c r="G113" s="11">
        <v>0.0</v>
      </c>
      <c r="H113" s="11">
        <v>1.0</v>
      </c>
      <c r="I113" s="12">
        <f t="shared" si="2"/>
        <v>0</v>
      </c>
    </row>
    <row r="114">
      <c r="A114" s="7" t="s">
        <v>125</v>
      </c>
      <c r="B114" s="8" t="s">
        <v>10</v>
      </c>
      <c r="C114" s="9"/>
      <c r="D114" s="9"/>
      <c r="E114" s="10" t="str">
        <f t="shared" si="1"/>
        <v/>
      </c>
      <c r="F114" s="10"/>
      <c r="G114" s="11">
        <v>0.0</v>
      </c>
      <c r="H114" s="11">
        <v>0.0</v>
      </c>
      <c r="I114" s="12">
        <f t="shared" si="2"/>
        <v>0</v>
      </c>
    </row>
    <row r="115">
      <c r="A115" s="7" t="s">
        <v>126</v>
      </c>
      <c r="B115" s="8" t="s">
        <v>10</v>
      </c>
      <c r="C115" s="8" t="s">
        <v>10</v>
      </c>
      <c r="D115" s="8" t="s">
        <v>10</v>
      </c>
      <c r="E115" s="10">
        <f t="shared" si="1"/>
        <v>1</v>
      </c>
      <c r="F115" s="10"/>
      <c r="G115" s="11">
        <v>0.0</v>
      </c>
      <c r="H115" s="11">
        <v>0.0</v>
      </c>
      <c r="I115" s="12">
        <f t="shared" si="2"/>
        <v>1</v>
      </c>
    </row>
    <row r="116">
      <c r="A116" s="7" t="s">
        <v>127</v>
      </c>
      <c r="B116" s="8" t="s">
        <v>10</v>
      </c>
      <c r="C116" s="9"/>
      <c r="D116" s="9"/>
      <c r="E116" s="10" t="str">
        <f t="shared" si="1"/>
        <v/>
      </c>
      <c r="F116" s="10"/>
      <c r="G116" s="11">
        <v>1.0</v>
      </c>
      <c r="H116" s="11">
        <v>0.0</v>
      </c>
      <c r="I116" s="12">
        <f t="shared" si="2"/>
        <v>0</v>
      </c>
    </row>
    <row r="117">
      <c r="A117" s="7" t="s">
        <v>128</v>
      </c>
      <c r="B117" s="8" t="s">
        <v>10</v>
      </c>
      <c r="C117" s="9"/>
      <c r="D117" s="9"/>
      <c r="E117" s="10" t="str">
        <f t="shared" si="1"/>
        <v/>
      </c>
      <c r="F117" s="10"/>
      <c r="G117" s="11">
        <v>0.0</v>
      </c>
      <c r="H117" s="11">
        <v>0.0</v>
      </c>
      <c r="I117" s="12">
        <f t="shared" si="2"/>
        <v>0</v>
      </c>
    </row>
    <row r="118">
      <c r="A118" s="7" t="s">
        <v>129</v>
      </c>
      <c r="B118" s="8" t="s">
        <v>10</v>
      </c>
      <c r="C118" s="9"/>
      <c r="D118" s="9"/>
      <c r="E118" s="10" t="str">
        <f t="shared" si="1"/>
        <v/>
      </c>
      <c r="F118" s="10"/>
      <c r="G118" s="11">
        <v>0.0</v>
      </c>
      <c r="H118" s="11">
        <v>0.0</v>
      </c>
      <c r="I118" s="12">
        <f t="shared" si="2"/>
        <v>0</v>
      </c>
    </row>
    <row r="119">
      <c r="A119" s="7" t="s">
        <v>130</v>
      </c>
      <c r="B119" s="8" t="s">
        <v>10</v>
      </c>
      <c r="C119" s="9"/>
      <c r="D119" s="9"/>
      <c r="E119" s="10" t="str">
        <f t="shared" si="1"/>
        <v/>
      </c>
      <c r="F119" s="10"/>
      <c r="G119" s="11">
        <v>0.0</v>
      </c>
      <c r="H119" s="11">
        <v>0.0</v>
      </c>
      <c r="I119" s="12">
        <f t="shared" si="2"/>
        <v>0</v>
      </c>
    </row>
    <row r="120">
      <c r="A120" s="7" t="s">
        <v>131</v>
      </c>
      <c r="B120" s="8" t="s">
        <v>10</v>
      </c>
      <c r="C120" s="9"/>
      <c r="D120" s="9"/>
      <c r="E120" s="10" t="str">
        <f t="shared" si="1"/>
        <v/>
      </c>
      <c r="F120" s="10"/>
      <c r="G120" s="11">
        <v>0.0</v>
      </c>
      <c r="H120" s="11">
        <v>0.0</v>
      </c>
      <c r="I120" s="12">
        <f t="shared" si="2"/>
        <v>0</v>
      </c>
    </row>
    <row r="121">
      <c r="A121" s="7" t="s">
        <v>132</v>
      </c>
      <c r="B121" s="8" t="s">
        <v>10</v>
      </c>
      <c r="C121" s="9"/>
      <c r="D121" s="9"/>
      <c r="E121" s="10" t="str">
        <f t="shared" si="1"/>
        <v/>
      </c>
      <c r="F121" s="10"/>
      <c r="G121" s="11">
        <v>1.0</v>
      </c>
      <c r="H121" s="11">
        <v>0.0</v>
      </c>
      <c r="I121" s="12">
        <f t="shared" si="2"/>
        <v>0</v>
      </c>
    </row>
    <row r="122">
      <c r="A122" s="7" t="s">
        <v>133</v>
      </c>
      <c r="B122" s="8" t="s">
        <v>10</v>
      </c>
      <c r="C122" s="8" t="s">
        <v>10</v>
      </c>
      <c r="D122" s="8" t="s">
        <v>10</v>
      </c>
      <c r="E122" s="10">
        <f t="shared" si="1"/>
        <v>1</v>
      </c>
      <c r="F122" s="10"/>
      <c r="G122" s="11">
        <v>0.0</v>
      </c>
      <c r="H122" s="11">
        <v>0.0</v>
      </c>
      <c r="I122" s="12">
        <f t="shared" si="2"/>
        <v>1</v>
      </c>
    </row>
    <row r="123">
      <c r="A123" s="7" t="s">
        <v>134</v>
      </c>
      <c r="B123" s="8" t="s">
        <v>10</v>
      </c>
      <c r="C123" s="8" t="s">
        <v>10</v>
      </c>
      <c r="D123" s="8" t="s">
        <v>10</v>
      </c>
      <c r="E123" s="10">
        <f t="shared" si="1"/>
        <v>1</v>
      </c>
      <c r="F123" s="10"/>
      <c r="G123" s="11">
        <v>1.0</v>
      </c>
      <c r="H123" s="11">
        <v>1.0</v>
      </c>
      <c r="I123" s="12">
        <f t="shared" si="2"/>
        <v>0</v>
      </c>
    </row>
    <row r="124">
      <c r="A124" s="7" t="s">
        <v>135</v>
      </c>
      <c r="B124" s="8" t="s">
        <v>10</v>
      </c>
      <c r="C124" s="9"/>
      <c r="D124" s="9"/>
      <c r="E124" s="10" t="str">
        <f t="shared" si="1"/>
        <v/>
      </c>
      <c r="F124" s="10"/>
      <c r="G124" s="11">
        <v>0.0</v>
      </c>
      <c r="H124" s="11">
        <v>0.0</v>
      </c>
      <c r="I124" s="12">
        <f t="shared" si="2"/>
        <v>0</v>
      </c>
    </row>
    <row r="125">
      <c r="A125" s="7" t="s">
        <v>136</v>
      </c>
      <c r="B125" s="8" t="s">
        <v>10</v>
      </c>
      <c r="C125" s="9"/>
      <c r="D125" s="9"/>
      <c r="E125" s="10" t="str">
        <f t="shared" si="1"/>
        <v/>
      </c>
      <c r="F125" s="10"/>
      <c r="G125" s="11">
        <v>0.0</v>
      </c>
      <c r="H125" s="11">
        <v>0.0</v>
      </c>
      <c r="I125" s="12">
        <f t="shared" si="2"/>
        <v>0</v>
      </c>
    </row>
    <row r="126">
      <c r="A126" s="7" t="s">
        <v>137</v>
      </c>
      <c r="B126" s="8" t="s">
        <v>10</v>
      </c>
      <c r="C126" s="9"/>
      <c r="D126" s="9"/>
      <c r="E126" s="10" t="str">
        <f t="shared" si="1"/>
        <v/>
      </c>
      <c r="F126" s="10"/>
      <c r="G126" s="11">
        <v>0.0</v>
      </c>
      <c r="H126" s="11">
        <v>1.0</v>
      </c>
      <c r="I126" s="12">
        <f t="shared" si="2"/>
        <v>0</v>
      </c>
    </row>
    <row r="127">
      <c r="A127" s="7" t="s">
        <v>138</v>
      </c>
      <c r="B127" s="8" t="s">
        <v>10</v>
      </c>
      <c r="C127" s="9"/>
      <c r="D127" s="9"/>
      <c r="E127" s="10" t="str">
        <f t="shared" si="1"/>
        <v/>
      </c>
      <c r="F127" s="10"/>
      <c r="G127" s="11">
        <v>0.0</v>
      </c>
      <c r="H127" s="11">
        <v>0.0</v>
      </c>
      <c r="I127" s="12">
        <f t="shared" si="2"/>
        <v>0</v>
      </c>
    </row>
    <row r="128">
      <c r="A128" s="7" t="s">
        <v>139</v>
      </c>
      <c r="B128" s="8" t="s">
        <v>10</v>
      </c>
      <c r="C128" s="9"/>
      <c r="D128" s="9"/>
      <c r="E128" s="10" t="str">
        <f t="shared" si="1"/>
        <v/>
      </c>
      <c r="F128" s="10"/>
      <c r="G128" s="11">
        <v>0.0</v>
      </c>
      <c r="H128" s="11">
        <v>0.0</v>
      </c>
      <c r="I128" s="12">
        <f t="shared" si="2"/>
        <v>0</v>
      </c>
    </row>
    <row r="129">
      <c r="A129" s="7" t="s">
        <v>140</v>
      </c>
      <c r="B129" s="8" t="s">
        <v>10</v>
      </c>
      <c r="C129" s="9"/>
      <c r="D129" s="9"/>
      <c r="E129" s="10" t="str">
        <f t="shared" si="1"/>
        <v/>
      </c>
      <c r="F129" s="10"/>
      <c r="G129" s="11">
        <v>0.0</v>
      </c>
      <c r="H129" s="11">
        <v>0.0</v>
      </c>
      <c r="I129" s="12">
        <f t="shared" si="2"/>
        <v>0</v>
      </c>
    </row>
    <row r="130">
      <c r="A130" s="7" t="s">
        <v>141</v>
      </c>
      <c r="B130" s="8" t="s">
        <v>10</v>
      </c>
      <c r="C130" s="8" t="s">
        <v>10</v>
      </c>
      <c r="D130" s="8" t="s">
        <v>10</v>
      </c>
      <c r="E130" s="10">
        <f t="shared" si="1"/>
        <v>1</v>
      </c>
      <c r="F130" s="10"/>
      <c r="G130" s="11">
        <v>0.0</v>
      </c>
      <c r="H130" s="11">
        <v>0.0</v>
      </c>
      <c r="I130" s="12">
        <f t="shared" si="2"/>
        <v>1</v>
      </c>
    </row>
    <row r="131">
      <c r="A131" s="7" t="s">
        <v>142</v>
      </c>
      <c r="B131" s="8" t="s">
        <v>10</v>
      </c>
      <c r="C131" s="9"/>
      <c r="D131" s="9"/>
      <c r="E131" s="10" t="str">
        <f t="shared" si="1"/>
        <v/>
      </c>
      <c r="F131" s="10"/>
      <c r="G131" s="11">
        <v>0.0</v>
      </c>
      <c r="H131" s="11">
        <v>1.0</v>
      </c>
      <c r="I131" s="12">
        <f t="shared" si="2"/>
        <v>0</v>
      </c>
    </row>
    <row r="132">
      <c r="A132" s="7" t="s">
        <v>143</v>
      </c>
      <c r="B132" s="8" t="s">
        <v>10</v>
      </c>
      <c r="C132" s="9"/>
      <c r="D132" s="9"/>
      <c r="E132" s="10" t="str">
        <f t="shared" si="1"/>
        <v/>
      </c>
      <c r="F132" s="10"/>
      <c r="G132" s="11">
        <v>0.0</v>
      </c>
      <c r="H132" s="11">
        <v>0.0</v>
      </c>
      <c r="I132" s="12">
        <f t="shared" si="2"/>
        <v>0</v>
      </c>
    </row>
    <row r="133">
      <c r="G133" s="12"/>
      <c r="H133" s="12"/>
    </row>
    <row r="134">
      <c r="B134" s="17">
        <f t="shared" ref="B134:D134" si="3">COUNTIF(B2:B132,"X")</f>
        <v>127</v>
      </c>
      <c r="C134" s="17">
        <f t="shared" si="3"/>
        <v>27</v>
      </c>
      <c r="D134" s="17">
        <f t="shared" si="3"/>
        <v>31</v>
      </c>
      <c r="E134" s="17">
        <f>COUNTIF(E2:E132,1)</f>
        <v>24</v>
      </c>
      <c r="I134" s="17">
        <f>COUNTIF(I2:I132,1)</f>
        <v>16</v>
      </c>
    </row>
  </sheetData>
  <conditionalFormatting sqref="E1:E133 E135:E1000">
    <cfRule type="cellIs" dxfId="0" priority="1" operator="equal">
      <formula>1</formula>
    </cfRule>
  </conditionalFormatting>
  <conditionalFormatting sqref="G1:H133 G135:H1000">
    <cfRule type="cellIs" dxfId="1" priority="2" operator="equal">
      <formula>1</formula>
    </cfRule>
  </conditionalFormatting>
  <conditionalFormatting sqref="I1:I133 I135:I1000">
    <cfRule type="cellIs" dxfId="0" priority="3" operator="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6" max="6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5" t="s">
        <v>144</v>
      </c>
      <c r="G1" s="5" t="s">
        <v>145</v>
      </c>
      <c r="H1" s="5" t="s">
        <v>146</v>
      </c>
    </row>
    <row r="2">
      <c r="A2" s="7" t="s">
        <v>11</v>
      </c>
      <c r="B2" s="8" t="s">
        <v>10</v>
      </c>
      <c r="C2" s="8" t="s">
        <v>10</v>
      </c>
      <c r="D2" s="8" t="s">
        <v>10</v>
      </c>
      <c r="E2" s="19">
        <v>1.0</v>
      </c>
      <c r="F2" s="11">
        <v>169.0</v>
      </c>
      <c r="G2" s="11">
        <v>200.0</v>
      </c>
      <c r="H2" s="12">
        <f t="shared" ref="H2:H25" si="1">SUM(F2:G2)</f>
        <v>369</v>
      </c>
    </row>
    <row r="3">
      <c r="A3" s="7" t="s">
        <v>13</v>
      </c>
      <c r="B3" s="8" t="s">
        <v>10</v>
      </c>
      <c r="C3" s="8" t="s">
        <v>10</v>
      </c>
      <c r="D3" s="8" t="s">
        <v>10</v>
      </c>
      <c r="E3" s="19">
        <v>1.0</v>
      </c>
      <c r="F3" s="11">
        <v>167.0</v>
      </c>
      <c r="G3" s="11">
        <v>131.0</v>
      </c>
      <c r="H3" s="12">
        <f t="shared" si="1"/>
        <v>298</v>
      </c>
    </row>
    <row r="4">
      <c r="A4" s="7" t="s">
        <v>19</v>
      </c>
      <c r="B4" s="8" t="s">
        <v>10</v>
      </c>
      <c r="C4" s="8" t="s">
        <v>10</v>
      </c>
      <c r="D4" s="8" t="s">
        <v>10</v>
      </c>
      <c r="E4" s="19">
        <v>1.0</v>
      </c>
      <c r="F4" s="11">
        <v>154.0</v>
      </c>
      <c r="G4" s="11">
        <v>60.0</v>
      </c>
      <c r="H4" s="12">
        <f t="shared" si="1"/>
        <v>214</v>
      </c>
    </row>
    <row r="5">
      <c r="A5" s="7" t="s">
        <v>20</v>
      </c>
      <c r="B5" s="8" t="s">
        <v>10</v>
      </c>
      <c r="C5" s="8" t="s">
        <v>10</v>
      </c>
      <c r="D5" s="8" t="s">
        <v>10</v>
      </c>
      <c r="E5" s="19">
        <v>1.0</v>
      </c>
      <c r="F5" s="11">
        <v>168.0</v>
      </c>
      <c r="G5" s="11">
        <v>237.0</v>
      </c>
      <c r="H5" s="12">
        <f t="shared" si="1"/>
        <v>405</v>
      </c>
    </row>
    <row r="6">
      <c r="A6" s="7" t="s">
        <v>36</v>
      </c>
      <c r="B6" s="8" t="s">
        <v>10</v>
      </c>
      <c r="C6" s="8" t="s">
        <v>10</v>
      </c>
      <c r="D6" s="8" t="s">
        <v>10</v>
      </c>
      <c r="E6" s="19">
        <v>1.0</v>
      </c>
      <c r="F6" s="11">
        <v>175.0</v>
      </c>
      <c r="G6" s="11">
        <v>278.0</v>
      </c>
      <c r="H6" s="12">
        <f t="shared" si="1"/>
        <v>453</v>
      </c>
    </row>
    <row r="7">
      <c r="A7" s="7" t="s">
        <v>38</v>
      </c>
      <c r="B7" s="8" t="s">
        <v>10</v>
      </c>
      <c r="C7" s="8" t="s">
        <v>10</v>
      </c>
      <c r="D7" s="8" t="s">
        <v>10</v>
      </c>
      <c r="E7" s="19">
        <v>1.0</v>
      </c>
      <c r="F7" s="11">
        <v>166.0</v>
      </c>
      <c r="G7" s="11">
        <v>277.5</v>
      </c>
      <c r="H7" s="12">
        <f t="shared" si="1"/>
        <v>443.5</v>
      </c>
    </row>
    <row r="8">
      <c r="A8" s="7" t="s">
        <v>45</v>
      </c>
      <c r="B8" s="8" t="s">
        <v>10</v>
      </c>
      <c r="C8" s="8" t="s">
        <v>10</v>
      </c>
      <c r="D8" s="8" t="s">
        <v>10</v>
      </c>
      <c r="E8" s="19">
        <v>1.0</v>
      </c>
      <c r="F8" s="11">
        <v>192.0</v>
      </c>
      <c r="G8" s="11">
        <v>267.5</v>
      </c>
      <c r="H8" s="12">
        <f t="shared" si="1"/>
        <v>459.5</v>
      </c>
    </row>
    <row r="9">
      <c r="A9" s="7" t="s">
        <v>55</v>
      </c>
      <c r="B9" s="8" t="s">
        <v>10</v>
      </c>
      <c r="C9" s="8" t="s">
        <v>10</v>
      </c>
      <c r="D9" s="8" t="s">
        <v>10</v>
      </c>
      <c r="E9" s="19">
        <v>1.0</v>
      </c>
      <c r="F9" s="11">
        <v>192.0</v>
      </c>
      <c r="G9" s="11">
        <v>79.5</v>
      </c>
      <c r="H9" s="12">
        <f t="shared" si="1"/>
        <v>271.5</v>
      </c>
    </row>
    <row r="10">
      <c r="A10" s="7" t="s">
        <v>62</v>
      </c>
      <c r="B10" s="8" t="s">
        <v>10</v>
      </c>
      <c r="C10" s="8" t="s">
        <v>10</v>
      </c>
      <c r="D10" s="8" t="s">
        <v>10</v>
      </c>
      <c r="E10" s="19">
        <v>1.0</v>
      </c>
      <c r="F10" s="11">
        <v>152.0</v>
      </c>
      <c r="G10" s="11">
        <v>70.5</v>
      </c>
      <c r="H10" s="12">
        <f t="shared" si="1"/>
        <v>222.5</v>
      </c>
    </row>
    <row r="11">
      <c r="A11" s="7" t="s">
        <v>71</v>
      </c>
      <c r="B11" s="8" t="s">
        <v>10</v>
      </c>
      <c r="C11" s="8" t="s">
        <v>10</v>
      </c>
      <c r="D11" s="8" t="s">
        <v>10</v>
      </c>
      <c r="E11" s="19">
        <v>1.0</v>
      </c>
      <c r="F11" s="11">
        <v>157.0</v>
      </c>
      <c r="G11" s="11">
        <v>225.0</v>
      </c>
      <c r="H11" s="12">
        <f t="shared" si="1"/>
        <v>382</v>
      </c>
    </row>
    <row r="12">
      <c r="A12" s="7" t="s">
        <v>73</v>
      </c>
      <c r="B12" s="8" t="s">
        <v>10</v>
      </c>
      <c r="C12" s="8" t="s">
        <v>10</v>
      </c>
      <c r="D12" s="8" t="s">
        <v>10</v>
      </c>
      <c r="E12" s="19">
        <v>1.0</v>
      </c>
      <c r="F12" s="11">
        <v>183.0</v>
      </c>
      <c r="G12" s="11">
        <v>30.5</v>
      </c>
      <c r="H12" s="12">
        <f t="shared" si="1"/>
        <v>213.5</v>
      </c>
    </row>
    <row r="13">
      <c r="A13" s="7" t="s">
        <v>82</v>
      </c>
      <c r="B13" s="8" t="s">
        <v>10</v>
      </c>
      <c r="C13" s="8" t="s">
        <v>10</v>
      </c>
      <c r="D13" s="8" t="s">
        <v>10</v>
      </c>
      <c r="E13" s="19">
        <v>1.0</v>
      </c>
      <c r="F13" s="11">
        <v>159.0</v>
      </c>
      <c r="G13" s="11">
        <v>128.0</v>
      </c>
      <c r="H13" s="12">
        <f t="shared" si="1"/>
        <v>287</v>
      </c>
    </row>
    <row r="14">
      <c r="A14" s="7" t="s">
        <v>83</v>
      </c>
      <c r="B14" s="8" t="s">
        <v>10</v>
      </c>
      <c r="C14" s="8" t="s">
        <v>10</v>
      </c>
      <c r="D14" s="8" t="s">
        <v>10</v>
      </c>
      <c r="E14" s="19">
        <v>1.0</v>
      </c>
      <c r="F14" s="11">
        <v>181.0</v>
      </c>
      <c r="G14" s="11">
        <v>109.5</v>
      </c>
      <c r="H14" s="12">
        <f t="shared" si="1"/>
        <v>290.5</v>
      </c>
    </row>
    <row r="15">
      <c r="A15" s="7" t="s">
        <v>88</v>
      </c>
      <c r="B15" s="8" t="s">
        <v>10</v>
      </c>
      <c r="C15" s="8" t="s">
        <v>10</v>
      </c>
      <c r="D15" s="8" t="s">
        <v>10</v>
      </c>
      <c r="E15" s="19">
        <v>1.0</v>
      </c>
      <c r="F15" s="11">
        <v>148.0</v>
      </c>
      <c r="G15" s="11">
        <v>180.0</v>
      </c>
      <c r="H15" s="12">
        <f t="shared" si="1"/>
        <v>328</v>
      </c>
    </row>
    <row r="16">
      <c r="A16" s="7" t="s">
        <v>96</v>
      </c>
      <c r="B16" s="8" t="s">
        <v>10</v>
      </c>
      <c r="C16" s="8" t="s">
        <v>10</v>
      </c>
      <c r="D16" s="8" t="s">
        <v>10</v>
      </c>
      <c r="E16" s="19">
        <v>1.0</v>
      </c>
      <c r="F16" s="11">
        <v>187.0</v>
      </c>
      <c r="G16" s="11">
        <v>86.5</v>
      </c>
      <c r="H16" s="12">
        <f t="shared" si="1"/>
        <v>273.5</v>
      </c>
    </row>
    <row r="17">
      <c r="A17" s="7" t="s">
        <v>98</v>
      </c>
      <c r="B17" s="8" t="s">
        <v>10</v>
      </c>
      <c r="C17" s="8" t="s">
        <v>10</v>
      </c>
      <c r="D17" s="8" t="s">
        <v>10</v>
      </c>
      <c r="E17" s="19">
        <v>1.0</v>
      </c>
      <c r="F17" s="11">
        <v>150.0</v>
      </c>
      <c r="G17" s="11">
        <v>164.0</v>
      </c>
      <c r="H17" s="12">
        <f t="shared" si="1"/>
        <v>314</v>
      </c>
    </row>
    <row r="18">
      <c r="A18" s="7" t="s">
        <v>99</v>
      </c>
      <c r="B18" s="8" t="s">
        <v>10</v>
      </c>
      <c r="C18" s="8" t="s">
        <v>10</v>
      </c>
      <c r="D18" s="8" t="s">
        <v>10</v>
      </c>
      <c r="E18" s="19">
        <v>1.0</v>
      </c>
      <c r="F18" s="11">
        <v>197.0</v>
      </c>
      <c r="G18" s="11">
        <v>105.0</v>
      </c>
      <c r="H18" s="12">
        <f t="shared" si="1"/>
        <v>302</v>
      </c>
    </row>
    <row r="19">
      <c r="A19" s="7" t="s">
        <v>100</v>
      </c>
      <c r="B19" s="8" t="s">
        <v>10</v>
      </c>
      <c r="C19" s="8" t="s">
        <v>10</v>
      </c>
      <c r="D19" s="8" t="s">
        <v>10</v>
      </c>
      <c r="E19" s="19">
        <v>1.0</v>
      </c>
      <c r="F19" s="11">
        <v>185.0</v>
      </c>
      <c r="G19" s="11">
        <v>259.5</v>
      </c>
      <c r="H19" s="12">
        <f t="shared" si="1"/>
        <v>444.5</v>
      </c>
    </row>
    <row r="20">
      <c r="A20" s="7" t="s">
        <v>107</v>
      </c>
      <c r="B20" s="8" t="s">
        <v>10</v>
      </c>
      <c r="C20" s="8" t="s">
        <v>10</v>
      </c>
      <c r="D20" s="8" t="s">
        <v>10</v>
      </c>
      <c r="E20" s="19">
        <v>1.0</v>
      </c>
      <c r="F20" s="11">
        <v>152.0</v>
      </c>
      <c r="G20" s="11">
        <v>297.5</v>
      </c>
      <c r="H20" s="12">
        <f t="shared" si="1"/>
        <v>449.5</v>
      </c>
    </row>
    <row r="21">
      <c r="A21" s="7" t="s">
        <v>114</v>
      </c>
      <c r="B21" s="8" t="s">
        <v>10</v>
      </c>
      <c r="C21" s="8" t="s">
        <v>10</v>
      </c>
      <c r="D21" s="8" t="s">
        <v>10</v>
      </c>
      <c r="E21" s="19">
        <v>1.0</v>
      </c>
      <c r="F21" s="11">
        <v>200.0</v>
      </c>
      <c r="G21" s="11">
        <v>140.0</v>
      </c>
      <c r="H21" s="12">
        <f t="shared" si="1"/>
        <v>340</v>
      </c>
    </row>
    <row r="22">
      <c r="A22" s="7" t="s">
        <v>126</v>
      </c>
      <c r="B22" s="8" t="s">
        <v>10</v>
      </c>
      <c r="C22" s="8" t="s">
        <v>10</v>
      </c>
      <c r="D22" s="8" t="s">
        <v>10</v>
      </c>
      <c r="E22" s="19">
        <v>1.0</v>
      </c>
      <c r="F22" s="11">
        <v>150.0</v>
      </c>
      <c r="G22" s="11">
        <v>101.0</v>
      </c>
      <c r="H22" s="12">
        <f t="shared" si="1"/>
        <v>251</v>
      </c>
    </row>
    <row r="23">
      <c r="A23" s="7" t="s">
        <v>133</v>
      </c>
      <c r="B23" s="8" t="s">
        <v>10</v>
      </c>
      <c r="C23" s="8" t="s">
        <v>10</v>
      </c>
      <c r="D23" s="8" t="s">
        <v>10</v>
      </c>
      <c r="E23" s="19">
        <v>1.0</v>
      </c>
      <c r="F23" s="11">
        <v>200.0</v>
      </c>
      <c r="G23" s="11">
        <v>213.5</v>
      </c>
      <c r="H23" s="12">
        <f t="shared" si="1"/>
        <v>413.5</v>
      </c>
    </row>
    <row r="24">
      <c r="A24" s="7" t="s">
        <v>134</v>
      </c>
      <c r="B24" s="8" t="s">
        <v>10</v>
      </c>
      <c r="C24" s="8" t="s">
        <v>10</v>
      </c>
      <c r="D24" s="8" t="s">
        <v>10</v>
      </c>
      <c r="E24" s="19">
        <v>1.0</v>
      </c>
      <c r="F24" s="12"/>
      <c r="G24" s="11">
        <v>125.0</v>
      </c>
      <c r="H24" s="12">
        <f t="shared" si="1"/>
        <v>125</v>
      </c>
    </row>
    <row r="25">
      <c r="A25" s="7" t="s">
        <v>141</v>
      </c>
      <c r="B25" s="8" t="s">
        <v>10</v>
      </c>
      <c r="C25" s="8" t="s">
        <v>10</v>
      </c>
      <c r="D25" s="8" t="s">
        <v>10</v>
      </c>
      <c r="E25" s="19">
        <v>1.0</v>
      </c>
      <c r="F25" s="11">
        <v>174.0</v>
      </c>
      <c r="G25" s="11">
        <v>51.0</v>
      </c>
      <c r="H25" s="12">
        <f t="shared" si="1"/>
        <v>225</v>
      </c>
    </row>
  </sheetData>
  <conditionalFormatting sqref="E1:E893">
    <cfRule type="cellIs" dxfId="0" priority="1" operator="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147</v>
      </c>
      <c r="C1" s="5" t="s">
        <v>2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5" t="s">
        <v>13</v>
      </c>
      <c r="B2" s="11" t="s">
        <v>148</v>
      </c>
      <c r="C2" s="11" t="s">
        <v>149</v>
      </c>
      <c r="E2" s="21"/>
    </row>
    <row r="3">
      <c r="A3" s="5" t="s">
        <v>20</v>
      </c>
      <c r="B3" s="22">
        <v>45378.0</v>
      </c>
      <c r="C3" s="11" t="s">
        <v>150</v>
      </c>
      <c r="E3" s="21"/>
    </row>
    <row r="4">
      <c r="A4" s="5" t="s">
        <v>39</v>
      </c>
      <c r="B4" s="11" t="s">
        <v>151</v>
      </c>
      <c r="C4" s="12"/>
      <c r="E4" s="21"/>
    </row>
    <row r="5">
      <c r="A5" s="5" t="s">
        <v>55</v>
      </c>
      <c r="B5" s="11">
        <v>5.0</v>
      </c>
      <c r="C5" s="11" t="s">
        <v>152</v>
      </c>
      <c r="E5" s="21"/>
    </row>
    <row r="6">
      <c r="A6" s="5" t="s">
        <v>83</v>
      </c>
      <c r="B6" s="11">
        <v>6.0</v>
      </c>
      <c r="C6" s="11" t="s">
        <v>153</v>
      </c>
      <c r="E6" s="21"/>
    </row>
    <row r="7">
      <c r="A7" s="5" t="s">
        <v>88</v>
      </c>
      <c r="B7" s="11" t="s">
        <v>154</v>
      </c>
      <c r="C7" s="11">
        <v>20.0</v>
      </c>
      <c r="E7" s="21"/>
    </row>
    <row r="8">
      <c r="A8" s="5" t="s">
        <v>96</v>
      </c>
      <c r="B8" s="22">
        <v>45384.0</v>
      </c>
      <c r="C8" s="11" t="s">
        <v>155</v>
      </c>
      <c r="E8" s="21"/>
    </row>
    <row r="9">
      <c r="A9" s="5" t="s">
        <v>98</v>
      </c>
      <c r="B9" s="11">
        <v>0.0</v>
      </c>
      <c r="C9" s="11" t="s">
        <v>156</v>
      </c>
    </row>
    <row r="10">
      <c r="A10" s="5" t="s">
        <v>99</v>
      </c>
      <c r="B10" s="11">
        <v>6.0</v>
      </c>
      <c r="C10" s="23">
        <v>45601.0</v>
      </c>
      <c r="D10" s="21"/>
    </row>
    <row r="11">
      <c r="A11" s="5" t="s">
        <v>114</v>
      </c>
      <c r="B11" s="11" t="s">
        <v>157</v>
      </c>
      <c r="C11" s="11" t="s">
        <v>158</v>
      </c>
      <c r="D11" s="21"/>
    </row>
    <row r="12">
      <c r="A12" s="5" t="s">
        <v>119</v>
      </c>
      <c r="B12" s="22">
        <v>45388.0</v>
      </c>
      <c r="C12" s="12"/>
      <c r="D12" s="21"/>
    </row>
    <row r="13">
      <c r="A13" s="5" t="s">
        <v>126</v>
      </c>
      <c r="B13" s="11">
        <v>0.0</v>
      </c>
      <c r="C13" s="11" t="s">
        <v>159</v>
      </c>
      <c r="D13" s="21"/>
    </row>
    <row r="14">
      <c r="A14" s="5" t="s">
        <v>133</v>
      </c>
      <c r="B14" s="11" t="s">
        <v>160</v>
      </c>
      <c r="C14" s="11" t="s">
        <v>161</v>
      </c>
      <c r="D14" s="21"/>
    </row>
    <row r="15">
      <c r="A15" s="5" t="s">
        <v>141</v>
      </c>
      <c r="B15" s="11" t="s">
        <v>162</v>
      </c>
      <c r="C15" s="22">
        <v>45437.0</v>
      </c>
      <c r="D15" s="21"/>
    </row>
    <row r="16">
      <c r="A16" s="5" t="s">
        <v>26</v>
      </c>
      <c r="B16" s="11" t="s">
        <v>163</v>
      </c>
      <c r="C16" s="12"/>
      <c r="D16" s="21"/>
    </row>
    <row r="17">
      <c r="A17" s="5" t="s">
        <v>100</v>
      </c>
      <c r="B17" s="11" t="s">
        <v>164</v>
      </c>
      <c r="C17" s="11" t="s">
        <v>165</v>
      </c>
      <c r="D17" s="21"/>
    </row>
    <row r="18">
      <c r="A18" s="5" t="s">
        <v>11</v>
      </c>
      <c r="B18" s="11">
        <v>7.0</v>
      </c>
      <c r="C18" s="11" t="s">
        <v>166</v>
      </c>
      <c r="D18" s="21"/>
    </row>
    <row r="19">
      <c r="A19" s="5" t="s">
        <v>19</v>
      </c>
      <c r="B19" s="11" t="s">
        <v>167</v>
      </c>
      <c r="C19" s="11" t="s">
        <v>168</v>
      </c>
    </row>
    <row r="20">
      <c r="A20" s="5" t="s">
        <v>82</v>
      </c>
      <c r="B20" s="22">
        <v>45293.0</v>
      </c>
      <c r="C20" s="11">
        <v>16.0</v>
      </c>
    </row>
    <row r="21">
      <c r="A21" s="5" t="s">
        <v>101</v>
      </c>
      <c r="B21" s="22">
        <v>45293.0</v>
      </c>
      <c r="C21" s="12"/>
    </row>
    <row r="22">
      <c r="A22" s="24"/>
    </row>
    <row r="23">
      <c r="A23" s="24"/>
    </row>
    <row r="24">
      <c r="A24" s="24"/>
    </row>
    <row r="25">
      <c r="A25" s="24"/>
    </row>
    <row r="26">
      <c r="A26" s="24"/>
    </row>
    <row r="27">
      <c r="A27" s="24"/>
    </row>
    <row r="28">
      <c r="A28" s="24"/>
    </row>
    <row r="29">
      <c r="A29" s="24"/>
    </row>
    <row r="30">
      <c r="A30" s="24"/>
    </row>
    <row r="31">
      <c r="A31" s="24"/>
    </row>
    <row r="32">
      <c r="A32" s="24"/>
    </row>
    <row r="33">
      <c r="A33" s="24"/>
    </row>
    <row r="34">
      <c r="A34" s="24"/>
    </row>
    <row r="35">
      <c r="A35" s="24"/>
    </row>
    <row r="36">
      <c r="A36" s="24"/>
    </row>
    <row r="37">
      <c r="A37" s="24"/>
    </row>
    <row r="38">
      <c r="A38" s="24"/>
    </row>
    <row r="39">
      <c r="A39" s="24"/>
    </row>
    <row r="40">
      <c r="A40" s="24"/>
    </row>
    <row r="41">
      <c r="A41" s="24"/>
    </row>
    <row r="42">
      <c r="A42" s="24"/>
    </row>
    <row r="43">
      <c r="A43" s="24"/>
    </row>
    <row r="44">
      <c r="A44" s="24"/>
    </row>
    <row r="45">
      <c r="A45" s="24"/>
    </row>
    <row r="46">
      <c r="A46" s="24"/>
    </row>
    <row r="47">
      <c r="A47" s="24"/>
    </row>
    <row r="48">
      <c r="A48" s="24"/>
    </row>
    <row r="49">
      <c r="A49" s="24"/>
    </row>
    <row r="50">
      <c r="A50" s="24"/>
    </row>
    <row r="51">
      <c r="A51" s="24"/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</sheetData>
  <drawing r:id="rId1"/>
</worksheet>
</file>