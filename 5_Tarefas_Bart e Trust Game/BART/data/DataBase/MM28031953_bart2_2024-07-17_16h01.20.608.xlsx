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3A7D1165-FE66-498A-A618-77FB1BA2C759}" xr6:coauthVersionLast="47" xr6:coauthVersionMax="47" xr10:uidLastSave="{00000000-0000-0000-0000-000000000000}"/>
  <bookViews>
    <workbookView xWindow="0" yWindow="0" windowWidth="10260" windowHeight="13080" xr2:uid="{7431F15F-BE12-4285-8E4C-26A23499ED41}"/>
  </bookViews>
  <sheets>
    <sheet name="MM28031953" sheetId="2" r:id="rId1"/>
    <sheet name="MM28031953_bart2_2024-07-17_16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<sst xmlns="http://schemas.openxmlformats.org/spreadsheetml/2006/main" count="438" uniqueCount="220">
  <si>
    <t>imageFile</t>
  </si>
  <si>
    <t>maxPumps</t>
  </si>
  <si>
    <t>trials_2.thisRepN</t>
  </si>
  <si>
    <t>trials_2.thisTrialN</t>
  </si>
  <si>
    <t>trials_2.thisN</t>
  </si>
  <si>
    <t>trials_2.thisIndex</t>
  </si>
  <si>
    <t>thisRow.t</t>
  </si>
  <si>
    <t>notes</t>
  </si>
  <si>
    <t>welcome.started</t>
  </si>
  <si>
    <t>welcome.stopped</t>
  </si>
  <si>
    <t>resposta_.keys</t>
  </si>
  <si>
    <t>resposta_.rt</t>
  </si>
  <si>
    <t>resposta_.duration</t>
  </si>
  <si>
    <t>bart_manual.started</t>
  </si>
  <si>
    <t>bart_manual.stopped</t>
  </si>
  <si>
    <t>instructions.started</t>
  </si>
  <si>
    <t>instructions.stopped</t>
  </si>
  <si>
    <t>mouse_1.x</t>
  </si>
  <si>
    <t>mouse_1.y</t>
  </si>
  <si>
    <t>mouse_1.leftButton</t>
  </si>
  <si>
    <t>mouse_1.midButton</t>
  </si>
  <si>
    <t>mouse_1.rightButton</t>
  </si>
  <si>
    <t>mouse_1.time</t>
  </si>
  <si>
    <t>mouse_1.clicked_name</t>
  </si>
  <si>
    <t>instructions_2.started</t>
  </si>
  <si>
    <t>instructions_2.stopped</t>
  </si>
  <si>
    <t>mouse_2.x</t>
  </si>
  <si>
    <t>mouse_2.y</t>
  </si>
  <si>
    <t>mouse_2.leftButton</t>
  </si>
  <si>
    <t>mouse_2.midButton</t>
  </si>
  <si>
    <t>mouse_2.rightButton</t>
  </si>
  <si>
    <t>mouse_2.time</t>
  </si>
  <si>
    <t>mouse_2.clicked_name</t>
  </si>
  <si>
    <t>trial_2.started</t>
  </si>
  <si>
    <t>trial_2.stopped</t>
  </si>
  <si>
    <t>bankButton.keys</t>
  </si>
  <si>
    <t>bankButton.rt</t>
  </si>
  <si>
    <t>bankButton.duration</t>
  </si>
  <si>
    <t>nPumps</t>
  </si>
  <si>
    <t>size</t>
  </si>
  <si>
    <t>earnings</t>
  </si>
  <si>
    <t>popped</t>
  </si>
  <si>
    <t>feedback_2.started</t>
  </si>
  <si>
    <t>feedback_2.stopped</t>
  </si>
  <si>
    <t>subjResponse</t>
  </si>
  <si>
    <t>final_score.started</t>
  </si>
  <si>
    <t>final_score.stopped</t>
  </si>
  <si>
    <t>farwell.started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</si>
  <si>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</si>
  <si>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</si>
  <si>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</si>
  <si>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</si>
  <si>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</si>
  <si>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</si>
  <si>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</si>
  <si>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0.09450560004916042</t>
  </si>
  <si>
    <t>4.318660099990666</t>
  </si>
  <si>
    <t>return</t>
  </si>
  <si>
    <t>3.916161200031638</t>
  </si>
  <si>
    <t>None</t>
  </si>
  <si>
    <t>MM28031953</t>
  </si>
  <si>
    <t>2024-07-17_16h01.20.608</t>
  </si>
  <si>
    <t>bart2</t>
  </si>
  <si>
    <t>2023.2.3</t>
  </si>
  <si>
    <t>59.96055796573394</t>
  </si>
  <si>
    <t>2024-07-17 16h01.50.688222 +0100</t>
  </si>
  <si>
    <t>4.319743899977766</t>
  </si>
  <si>
    <t>5.324417500058189</t>
  </si>
  <si>
    <t>5.324474600027315</t>
  </si>
  <si>
    <t>44.11961579998024</t>
  </si>
  <si>
    <t>[0.4926900584795322]</t>
  </si>
  <si>
    <t>[-0.7807017543859649]</t>
  </si>
  <si>
    <t>[0]</t>
  </si>
  <si>
    <t>[38.45080330001656]</t>
  </si>
  <si>
    <t>['seta_avançar']</t>
  </si>
  <si>
    <t>44.12624979997054</t>
  </si>
  <si>
    <t>72.84583970007952</t>
  </si>
  <si>
    <t>[0.47514619883040937]</t>
  </si>
  <si>
    <t>[-0.8015350877192983]</t>
  </si>
  <si>
    <t>[1]</t>
  </si>
  <si>
    <t>[28.64396679995116]</t>
  </si>
  <si>
    <t>['seta_avançar_2']</t>
  </si>
  <si>
    <t>blueBalloon.jpg</t>
  </si>
  <si>
    <t>74.64933779998682</t>
  </si>
  <si>
    <t>74.49105379998218</t>
  </si>
  <si>
    <t>119.03481800004374</t>
  </si>
  <si>
    <t>44.38490499998443</t>
  </si>
  <si>
    <t>0.25</t>
  </si>
  <si>
    <t>5.0</t>
  </si>
  <si>
    <t>119.04915840004105</t>
  </si>
  <si>
    <t>121.06279380002525</t>
  </si>
  <si>
    <t>121.21386400004849</t>
  </si>
  <si>
    <t>121.06440699996892</t>
  </si>
  <si>
    <t>161.37292170000728</t>
  </si>
  <si>
    <t>40.158424499910325</t>
  </si>
  <si>
    <t>161.37345219997223</t>
  </si>
  <si>
    <t>163.3924277999904</t>
  </si>
  <si>
    <t>163.52956090006046</t>
  </si>
  <si>
    <t>163.39394169999287</t>
  </si>
  <si>
    <t>199.04368170001544</t>
  </si>
  <si>
    <t>0.355</t>
  </si>
  <si>
    <t>0.0</t>
  </si>
  <si>
    <t>199.0462114000693</t>
  </si>
  <si>
    <t>201.04689040000085</t>
  </si>
  <si>
    <t>201.18378820002545</t>
  </si>
  <si>
    <t>201.0487448000349</t>
  </si>
  <si>
    <t>226.60753570008092</t>
  </si>
  <si>
    <t>25.4231248999713</t>
  </si>
  <si>
    <t>226.60810100007802</t>
  </si>
  <si>
    <t>228.61316030006856</t>
  </si>
  <si>
    <t>228.70879639999475</t>
  </si>
  <si>
    <t>228.61377190006897</t>
  </si>
  <si>
    <t>249.47717169998214</t>
  </si>
  <si>
    <t>20.767570800031535</t>
  </si>
  <si>
    <t>249.4780106000835</t>
  </si>
  <si>
    <t>251.48788839997724</t>
  </si>
  <si>
    <t>251.64678700000513</t>
  </si>
  <si>
    <t>251.48939590004738</t>
  </si>
  <si>
    <t>270.7470741000725</t>
  </si>
  <si>
    <t>19.099660300067626</t>
  </si>
  <si>
    <t>270.74761099996977</t>
  </si>
  <si>
    <t>272.7583201000234</t>
  </si>
  <si>
    <t>272.91418810002506</t>
  </si>
  <si>
    <t>272.75982679997105</t>
  </si>
  <si>
    <t>290.8871547000017</t>
  </si>
  <si>
    <t>17.972351499949582</t>
  </si>
  <si>
    <t>290.88773830002174</t>
  </si>
  <si>
    <t>292.90601160004735</t>
  </si>
  <si>
    <t>293.04698720003944</t>
  </si>
  <si>
    <t>292.9075811000075</t>
  </si>
  <si>
    <t>322.31185900000855</t>
  </si>
  <si>
    <t>29.264275799971074</t>
  </si>
  <si>
    <t>0.4</t>
  </si>
  <si>
    <t>10.0</t>
  </si>
  <si>
    <t>322.31241240003146</t>
  </si>
  <si>
    <t>324.3180730000604</t>
  </si>
  <si>
    <t>324.45720389997587</t>
  </si>
  <si>
    <t>324.31959620001726</t>
  </si>
  <si>
    <t>343.2639695999678</t>
  </si>
  <si>
    <t>18.806146900053136</t>
  </si>
  <si>
    <t>0.265</t>
  </si>
  <si>
    <t>5.5</t>
  </si>
  <si>
    <t>343.26455299998634</t>
  </si>
  <si>
    <t>345.26536249998026</t>
  </si>
  <si>
    <t>345.4120398000814</t>
  </si>
  <si>
    <t>345.26693869999144</t>
  </si>
  <si>
    <t>370.79954779997934</t>
  </si>
  <si>
    <t>25.38691130001098</t>
  </si>
  <si>
    <t>370.8001300999895</t>
  </si>
  <si>
    <t>372.8136390000582</t>
  </si>
  <si>
    <t>373.0260439000558</t>
  </si>
  <si>
    <t>372.8159215999767</t>
  </si>
  <si>
    <t>388.64974240004085</t>
  </si>
  <si>
    <t>388.6518309999956</t>
  </si>
  <si>
    <t>390.6679854000686</t>
  </si>
  <si>
    <t>390.801142900018</t>
  </si>
  <si>
    <t>390.66950519999955</t>
  </si>
  <si>
    <t>398.8457997000078</t>
  </si>
  <si>
    <t>0.175</t>
  </si>
  <si>
    <t>398.84820150001906</t>
  </si>
  <si>
    <t>400.86323510005604</t>
  </si>
  <si>
    <t>401.0834837000584</t>
  </si>
  <si>
    <t>400.86476620007306</t>
  </si>
  <si>
    <t>431.26395819999743</t>
  </si>
  <si>
    <t>30.179877499933355</t>
  </si>
  <si>
    <t>431.2645072999876</t>
  </si>
  <si>
    <t>433.26495009998325</t>
  </si>
  <si>
    <t>433.3945106000174</t>
  </si>
  <si>
    <t>433.26654540002346</t>
  </si>
  <si>
    <t>512.3066651000408</t>
  </si>
  <si>
    <t>78.91151849995367</t>
  </si>
  <si>
    <t>0.8049999999999999</t>
  </si>
  <si>
    <t>23.5</t>
  </si>
  <si>
    <t>512.307255599997</t>
  </si>
  <si>
    <t>514.3131251999876</t>
  </si>
  <si>
    <t>514.4901026000734</t>
  </si>
  <si>
    <t>514.3145478999941</t>
  </si>
  <si>
    <t>525.9865143999923</t>
  </si>
  <si>
    <t>0.19</t>
  </si>
  <si>
    <t>525.9887405000627</t>
  </si>
  <si>
    <t>528.0043112999992</t>
  </si>
  <si>
    <t>528.1630735000363</t>
  </si>
  <si>
    <t>528.0061876000836</t>
  </si>
  <si>
    <t>578.8744365000166</t>
  </si>
  <si>
    <t>50.710723700001836</t>
  </si>
  <si>
    <t>0.7</t>
  </si>
  <si>
    <t>20.0</t>
  </si>
  <si>
    <t>578.8750133999856</t>
  </si>
  <si>
    <t>580.8782743000193</t>
  </si>
  <si>
    <t>581.0509792000521</t>
  </si>
  <si>
    <t>580.8798038000241</t>
  </si>
  <si>
    <t>603.2041423000628</t>
  </si>
  <si>
    <t>0.37</t>
  </si>
  <si>
    <t>603.2060119999805</t>
  </si>
  <si>
    <t>605.2213040000061</t>
  </si>
  <si>
    <t>605.4642201000825</t>
  </si>
  <si>
    <t>605.2228114000754</t>
  </si>
  <si>
    <t>638.6759310000343</t>
  </si>
  <si>
    <t>33.2111132000573</t>
  </si>
  <si>
    <t>0.5499999999999999</t>
  </si>
  <si>
    <t>15.0</t>
  </si>
  <si>
    <t>638.6764592999825</t>
  </si>
  <si>
    <t>640.6876166000729</t>
  </si>
  <si>
    <t>640.8659462999785</t>
  </si>
  <si>
    <t>640.6891304000746</t>
  </si>
  <si>
    <t>685.1503436000785</t>
  </si>
  <si>
    <t>44.28377149999142</t>
  </si>
  <si>
    <t>685.1508710000198</t>
  </si>
  <si>
    <t>687.1704318000702</t>
  </si>
  <si>
    <t>687.434748700005</t>
  </si>
  <si>
    <t>687.1719378000125</t>
  </si>
  <si>
    <t>724.8127242000774</t>
  </si>
  <si>
    <t>37.37730209995061</t>
  </si>
  <si>
    <t>724.8133333000587</t>
  </si>
  <si>
    <t>726.8157575000077</t>
  </si>
  <si>
    <t>726.978287099977</t>
  </si>
  <si>
    <t>726.8172585000284</t>
  </si>
  <si>
    <t>726.9028502000729</t>
  </si>
  <si>
    <t>731.8149296999909</t>
  </si>
  <si>
    <t>731.8149882999714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</si>
</sst>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E283-D4F1-42F6-AF95-2ED7017C979B}">
  <dimension ref="A1:E22"/>
  <sheetViews>
    <sheetView tabSelected="1" workbookViewId="0">
      <selection activeCell="D22" sqref="D22:E22"/>
    </sheetView>
  </sheetViews>
  <sheetFormatPr defaultRowHeight="14.25" x14ac:dyDescent="0.45"/>
  <sheetData>
    <row r="1" spans="1:5" x14ac:dyDescent="0.45">
      <c r="A1" t="s">
        <v>1</v>
      </c>
      <c r="B1" t="s">
        <v>4</v>
      </c>
      <c r="C1" t="s">
        <v>38</v>
      </c>
      <c r="D1" t="s">
        <v>40</v>
      </c>
      <c r="E1" t="s">
        <v>41</v>
      </c>
    </row>
    <row r="2" spans="1:5" x14ac:dyDescent="0.45">
      <c r="A2">
        <v>43</v>
      </c>
      <c r="B2">
        <v>0</v>
      </c>
      <c r="C2">
        <v>10</v>
      </c>
      <c r="D2">
        <v>5</v>
      </c>
      <c r="E2" t="b">
        <v>0</v>
      </c>
    </row>
    <row r="3" spans="1:5" x14ac:dyDescent="0.45">
      <c r="A3">
        <v>124</v>
      </c>
      <c r="B3">
        <v>1</v>
      </c>
      <c r="C3">
        <v>10</v>
      </c>
      <c r="D3">
        <v>5</v>
      </c>
      <c r="E3" t="b">
        <v>0</v>
      </c>
    </row>
    <row r="4" spans="1:5" x14ac:dyDescent="0.45">
      <c r="A4">
        <v>16</v>
      </c>
      <c r="B4">
        <v>2</v>
      </c>
      <c r="C4">
        <v>17</v>
      </c>
      <c r="D4">
        <v>0</v>
      </c>
      <c r="E4" t="b">
        <v>1</v>
      </c>
    </row>
    <row r="5" spans="1:5" x14ac:dyDescent="0.45">
      <c r="A5">
        <v>70</v>
      </c>
      <c r="B5">
        <v>3</v>
      </c>
      <c r="C5">
        <v>10</v>
      </c>
      <c r="D5">
        <v>5</v>
      </c>
      <c r="E5" t="b">
        <v>0</v>
      </c>
    </row>
    <row r="6" spans="1:5" x14ac:dyDescent="0.45">
      <c r="A6">
        <v>30</v>
      </c>
      <c r="B6">
        <v>4</v>
      </c>
      <c r="C6">
        <v>10</v>
      </c>
      <c r="D6">
        <v>5</v>
      </c>
      <c r="E6" t="b">
        <v>0</v>
      </c>
    </row>
    <row r="7" spans="1:5" x14ac:dyDescent="0.45">
      <c r="A7">
        <v>121</v>
      </c>
      <c r="B7">
        <v>5</v>
      </c>
      <c r="C7">
        <v>10</v>
      </c>
      <c r="D7">
        <v>5</v>
      </c>
      <c r="E7" t="b">
        <v>0</v>
      </c>
    </row>
    <row r="8" spans="1:5" x14ac:dyDescent="0.45">
      <c r="A8">
        <v>34</v>
      </c>
      <c r="B8">
        <v>6</v>
      </c>
      <c r="C8">
        <v>10</v>
      </c>
      <c r="D8">
        <v>5</v>
      </c>
      <c r="E8" t="b">
        <v>0</v>
      </c>
    </row>
    <row r="9" spans="1:5" x14ac:dyDescent="0.45">
      <c r="A9">
        <v>69</v>
      </c>
      <c r="B9">
        <v>7</v>
      </c>
      <c r="C9">
        <v>20</v>
      </c>
      <c r="D9">
        <v>10</v>
      </c>
      <c r="E9" t="b">
        <v>0</v>
      </c>
    </row>
    <row r="10" spans="1:5" x14ac:dyDescent="0.45">
      <c r="A10">
        <v>91</v>
      </c>
      <c r="B10">
        <v>8</v>
      </c>
      <c r="C10">
        <v>11</v>
      </c>
      <c r="D10">
        <v>5.5</v>
      </c>
      <c r="E10" t="b">
        <v>0</v>
      </c>
    </row>
    <row r="11" spans="1:5" x14ac:dyDescent="0.45">
      <c r="A11">
        <v>50</v>
      </c>
      <c r="B11">
        <v>9</v>
      </c>
      <c r="C11">
        <v>20</v>
      </c>
      <c r="D11">
        <v>10</v>
      </c>
      <c r="E11" t="b">
        <v>0</v>
      </c>
    </row>
    <row r="12" spans="1:5" x14ac:dyDescent="0.45">
      <c r="A12">
        <v>9</v>
      </c>
      <c r="B12">
        <v>10</v>
      </c>
      <c r="C12">
        <v>10</v>
      </c>
      <c r="D12">
        <v>0</v>
      </c>
      <c r="E12" t="b">
        <v>1</v>
      </c>
    </row>
    <row r="13" spans="1:5" x14ac:dyDescent="0.45">
      <c r="A13">
        <v>4</v>
      </c>
      <c r="B13">
        <v>11</v>
      </c>
      <c r="C13">
        <v>5</v>
      </c>
      <c r="D13">
        <v>0</v>
      </c>
      <c r="E13" t="b">
        <v>1</v>
      </c>
    </row>
    <row r="14" spans="1:5" x14ac:dyDescent="0.45">
      <c r="A14">
        <v>65</v>
      </c>
      <c r="B14">
        <v>12</v>
      </c>
      <c r="C14">
        <v>20</v>
      </c>
      <c r="D14">
        <v>10</v>
      </c>
      <c r="E14" t="b">
        <v>0</v>
      </c>
    </row>
    <row r="15" spans="1:5" x14ac:dyDescent="0.45">
      <c r="A15">
        <v>92</v>
      </c>
      <c r="B15">
        <v>13</v>
      </c>
      <c r="C15">
        <v>47</v>
      </c>
      <c r="D15">
        <v>23.5</v>
      </c>
      <c r="E15" t="b">
        <v>0</v>
      </c>
    </row>
    <row r="16" spans="1:5" x14ac:dyDescent="0.45">
      <c r="A16">
        <v>5</v>
      </c>
      <c r="B16">
        <v>14</v>
      </c>
      <c r="C16">
        <v>6</v>
      </c>
      <c r="D16">
        <v>0</v>
      </c>
      <c r="E16" t="b">
        <v>1</v>
      </c>
    </row>
    <row r="17" spans="1:5" x14ac:dyDescent="0.45">
      <c r="A17">
        <v>82</v>
      </c>
      <c r="B17">
        <v>15</v>
      </c>
      <c r="C17">
        <v>40</v>
      </c>
      <c r="D17">
        <v>20</v>
      </c>
      <c r="E17" t="b">
        <v>0</v>
      </c>
    </row>
    <row r="18" spans="1:5" x14ac:dyDescent="0.45">
      <c r="A18">
        <v>17</v>
      </c>
      <c r="B18">
        <v>16</v>
      </c>
      <c r="C18">
        <v>18</v>
      </c>
      <c r="D18">
        <v>0</v>
      </c>
      <c r="E18" t="b">
        <v>1</v>
      </c>
    </row>
    <row r="19" spans="1:5" x14ac:dyDescent="0.45">
      <c r="A19">
        <v>64</v>
      </c>
      <c r="B19">
        <v>17</v>
      </c>
      <c r="C19">
        <v>30</v>
      </c>
      <c r="D19">
        <v>15</v>
      </c>
      <c r="E19" t="b">
        <v>0</v>
      </c>
    </row>
    <row r="20" spans="1:5" x14ac:dyDescent="0.45">
      <c r="A20">
        <v>120</v>
      </c>
      <c r="B20">
        <v>18</v>
      </c>
      <c r="C20">
        <v>40</v>
      </c>
      <c r="D20">
        <v>20</v>
      </c>
      <c r="E20" t="b">
        <v>0</v>
      </c>
    </row>
    <row r="21" spans="1:5" x14ac:dyDescent="0.45">
      <c r="A21">
        <v>48</v>
      </c>
      <c r="B21">
        <v>19</v>
      </c>
      <c r="C21">
        <v>40</v>
      </c>
      <c r="D21">
        <v>20</v>
      </c>
      <c r="E21" t="b">
        <v>0</v>
      </c>
    </row>
    <row r="22" spans="1:5" x14ac:dyDescent="0.45">
      <c r="D22">
        <f>SUM(D2:D21)</f>
        <v>164</v>
      </c>
      <c r="E22">
        <f>COUNTIF(E2:E21,"TRUE")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DF6B-5802-4081-B02F-AF605EE6A54D}">
  <dimension ref="A1:BC25"/>
  <sheetViews>
    <sheetView workbookViewId="0">
      <selection sqref="A1:A1048576"/>
    </sheetView>
  </sheetViews>
  <sheetFormatPr defaultRowHeight="14.25" x14ac:dyDescent="0.45"/>
  <sheetData>
    <row r="1" spans="1:5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45">
      <c r="I2" t="s">
        <v>55</v>
      </c>
      <c r="J2" t="s">
        <v>56</v>
      </c>
      <c r="K2" t="s">
        <v>57</v>
      </c>
      <c r="L2" t="s">
        <v>58</v>
      </c>
      <c r="M2" t="s">
        <v>59</v>
      </c>
      <c r="AW2" t="s">
        <v>60</v>
      </c>
      <c r="AX2">
        <v>1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</row>
    <row r="3" spans="1:55" x14ac:dyDescent="0.45"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72</v>
      </c>
      <c r="V3" t="s">
        <v>72</v>
      </c>
      <c r="W3" t="s">
        <v>73</v>
      </c>
      <c r="X3" t="s">
        <v>74</v>
      </c>
      <c r="AW3" t="s">
        <v>60</v>
      </c>
      <c r="AX3">
        <v>1</v>
      </c>
      <c r="AY3" t="s">
        <v>61</v>
      </c>
      <c r="AZ3" t="s">
        <v>62</v>
      </c>
      <c r="BA3" t="s">
        <v>63</v>
      </c>
      <c r="BB3" t="s">
        <v>64</v>
      </c>
      <c r="BC3" t="s">
        <v>65</v>
      </c>
    </row>
    <row r="4" spans="1:55" x14ac:dyDescent="0.45"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72</v>
      </c>
      <c r="AE4" t="s">
        <v>72</v>
      </c>
      <c r="AF4" t="s">
        <v>80</v>
      </c>
      <c r="AG4" t="s">
        <v>81</v>
      </c>
      <c r="AW4" t="s">
        <v>60</v>
      </c>
      <c r="AX4">
        <v>1</v>
      </c>
      <c r="AY4" t="s">
        <v>61</v>
      </c>
      <c r="AZ4" t="s">
        <v>62</v>
      </c>
      <c r="BA4" t="s">
        <v>63</v>
      </c>
      <c r="BB4" t="s">
        <v>64</v>
      </c>
      <c r="BC4" t="s">
        <v>65</v>
      </c>
    </row>
    <row r="5" spans="1:55" x14ac:dyDescent="0.45">
      <c r="A5" t="s">
        <v>82</v>
      </c>
      <c r="B5">
        <v>43</v>
      </c>
      <c r="C5">
        <v>0</v>
      </c>
      <c r="D5">
        <v>0</v>
      </c>
      <c r="E5">
        <v>0</v>
      </c>
      <c r="F5">
        <v>42</v>
      </c>
      <c r="G5" t="s">
        <v>83</v>
      </c>
      <c r="AH5" t="s">
        <v>84</v>
      </c>
      <c r="AI5" t="s">
        <v>85</v>
      </c>
      <c r="AJ5" t="s">
        <v>57</v>
      </c>
      <c r="AK5" t="s">
        <v>86</v>
      </c>
      <c r="AL5" t="s">
        <v>59</v>
      </c>
      <c r="AM5">
        <v>10</v>
      </c>
      <c r="AN5" t="s">
        <v>87</v>
      </c>
      <c r="AO5" t="s">
        <v>88</v>
      </c>
      <c r="AP5" t="b">
        <v>0</v>
      </c>
      <c r="AQ5" t="s">
        <v>89</v>
      </c>
      <c r="AR5" t="s">
        <v>90</v>
      </c>
      <c r="AS5">
        <v>10</v>
      </c>
      <c r="AW5" t="s">
        <v>60</v>
      </c>
      <c r="AX5">
        <v>1</v>
      </c>
      <c r="AY5" t="s">
        <v>61</v>
      </c>
      <c r="AZ5" t="s">
        <v>62</v>
      </c>
      <c r="BA5" t="s">
        <v>63</v>
      </c>
      <c r="BB5" t="s">
        <v>64</v>
      </c>
      <c r="BC5" t="s">
        <v>65</v>
      </c>
    </row>
    <row r="6" spans="1:55" x14ac:dyDescent="0.45">
      <c r="A6" t="s">
        <v>82</v>
      </c>
      <c r="B6">
        <v>124</v>
      </c>
      <c r="C6">
        <v>0</v>
      </c>
      <c r="D6">
        <v>1</v>
      </c>
      <c r="E6">
        <v>1</v>
      </c>
      <c r="F6">
        <v>123</v>
      </c>
      <c r="G6" t="s">
        <v>91</v>
      </c>
      <c r="AH6" t="s">
        <v>92</v>
      </c>
      <c r="AI6" t="s">
        <v>93</v>
      </c>
      <c r="AJ6" t="s">
        <v>57</v>
      </c>
      <c r="AK6" t="s">
        <v>94</v>
      </c>
      <c r="AL6" t="s">
        <v>59</v>
      </c>
      <c r="AM6">
        <v>10</v>
      </c>
      <c r="AN6" t="s">
        <v>87</v>
      </c>
      <c r="AO6" t="s">
        <v>88</v>
      </c>
      <c r="AP6" t="b">
        <v>0</v>
      </c>
      <c r="AQ6" t="s">
        <v>95</v>
      </c>
      <c r="AR6" t="s">
        <v>96</v>
      </c>
      <c r="AS6">
        <v>10</v>
      </c>
      <c r="AW6" t="s">
        <v>60</v>
      </c>
      <c r="AX6">
        <v>1</v>
      </c>
      <c r="AY6" t="s">
        <v>61</v>
      </c>
      <c r="AZ6" t="s">
        <v>62</v>
      </c>
      <c r="BA6" t="s">
        <v>63</v>
      </c>
      <c r="BB6" t="s">
        <v>64</v>
      </c>
      <c r="BC6" t="s">
        <v>65</v>
      </c>
    </row>
    <row r="7" spans="1:55" x14ac:dyDescent="0.45">
      <c r="A7" t="s">
        <v>82</v>
      </c>
      <c r="B7">
        <v>16</v>
      </c>
      <c r="C7">
        <v>0</v>
      </c>
      <c r="D7">
        <v>2</v>
      </c>
      <c r="E7">
        <v>2</v>
      </c>
      <c r="F7">
        <v>15</v>
      </c>
      <c r="G7" t="s">
        <v>97</v>
      </c>
      <c r="AH7" t="s">
        <v>98</v>
      </c>
      <c r="AI7" t="s">
        <v>99</v>
      </c>
      <c r="AJ7" t="s">
        <v>59</v>
      </c>
      <c r="AM7">
        <v>17</v>
      </c>
      <c r="AN7" t="s">
        <v>100</v>
      </c>
      <c r="AO7" t="s">
        <v>101</v>
      </c>
      <c r="AP7" t="b">
        <v>1</v>
      </c>
      <c r="AQ7" t="s">
        <v>102</v>
      </c>
      <c r="AR7" t="s">
        <v>103</v>
      </c>
      <c r="AS7">
        <v>17</v>
      </c>
      <c r="AW7" t="s">
        <v>60</v>
      </c>
      <c r="AX7">
        <v>1</v>
      </c>
      <c r="AY7" t="s">
        <v>61</v>
      </c>
      <c r="AZ7" t="s">
        <v>62</v>
      </c>
      <c r="BA7" t="s">
        <v>63</v>
      </c>
      <c r="BB7" t="s">
        <v>64</v>
      </c>
      <c r="BC7" t="s">
        <v>65</v>
      </c>
    </row>
    <row r="8" spans="1:55" x14ac:dyDescent="0.45">
      <c r="A8" t="s">
        <v>82</v>
      </c>
      <c r="B8">
        <v>70</v>
      </c>
      <c r="C8">
        <v>0</v>
      </c>
      <c r="D8">
        <v>3</v>
      </c>
      <c r="E8">
        <v>3</v>
      </c>
      <c r="F8">
        <v>69</v>
      </c>
      <c r="G8" t="s">
        <v>104</v>
      </c>
      <c r="AH8" t="s">
        <v>105</v>
      </c>
      <c r="AI8" t="s">
        <v>106</v>
      </c>
      <c r="AJ8" t="s">
        <v>57</v>
      </c>
      <c r="AK8" t="s">
        <v>107</v>
      </c>
      <c r="AL8" t="s">
        <v>59</v>
      </c>
      <c r="AM8">
        <v>10</v>
      </c>
      <c r="AN8" t="s">
        <v>87</v>
      </c>
      <c r="AO8" t="s">
        <v>88</v>
      </c>
      <c r="AP8" t="b">
        <v>0</v>
      </c>
      <c r="AQ8" t="s">
        <v>108</v>
      </c>
      <c r="AR8" t="s">
        <v>109</v>
      </c>
      <c r="AS8">
        <v>10</v>
      </c>
      <c r="AW8" t="s">
        <v>60</v>
      </c>
      <c r="AX8">
        <v>1</v>
      </c>
      <c r="AY8" t="s">
        <v>61</v>
      </c>
      <c r="AZ8" t="s">
        <v>62</v>
      </c>
      <c r="BA8" t="s">
        <v>63</v>
      </c>
      <c r="BB8" t="s">
        <v>64</v>
      </c>
      <c r="BC8" t="s">
        <v>65</v>
      </c>
    </row>
    <row r="9" spans="1:55" x14ac:dyDescent="0.45">
      <c r="A9" t="s">
        <v>82</v>
      </c>
      <c r="B9">
        <v>30</v>
      </c>
      <c r="C9">
        <v>0</v>
      </c>
      <c r="D9">
        <v>4</v>
      </c>
      <c r="E9">
        <v>4</v>
      </c>
      <c r="F9">
        <v>29</v>
      </c>
      <c r="G9" t="s">
        <v>110</v>
      </c>
      <c r="AH9" t="s">
        <v>111</v>
      </c>
      <c r="AI9" t="s">
        <v>112</v>
      </c>
      <c r="AJ9" t="s">
        <v>57</v>
      </c>
      <c r="AK9" t="s">
        <v>113</v>
      </c>
      <c r="AL9" t="s">
        <v>59</v>
      </c>
      <c r="AM9">
        <v>10</v>
      </c>
      <c r="AN9" t="s">
        <v>87</v>
      </c>
      <c r="AO9" t="s">
        <v>88</v>
      </c>
      <c r="AP9" t="b">
        <v>0</v>
      </c>
      <c r="AQ9" t="s">
        <v>114</v>
      </c>
      <c r="AR9" t="s">
        <v>115</v>
      </c>
      <c r="AS9">
        <v>10</v>
      </c>
      <c r="AW9" t="s">
        <v>60</v>
      </c>
      <c r="AX9">
        <v>1</v>
      </c>
      <c r="AY9" t="s">
        <v>61</v>
      </c>
      <c r="AZ9" t="s">
        <v>62</v>
      </c>
      <c r="BA9" t="s">
        <v>63</v>
      </c>
      <c r="BB9" t="s">
        <v>64</v>
      </c>
      <c r="BC9" t="s">
        <v>65</v>
      </c>
    </row>
    <row r="10" spans="1:55" x14ac:dyDescent="0.45">
      <c r="A10" t="s">
        <v>82</v>
      </c>
      <c r="B10">
        <v>121</v>
      </c>
      <c r="C10">
        <v>0</v>
      </c>
      <c r="D10">
        <v>5</v>
      </c>
      <c r="E10">
        <v>5</v>
      </c>
      <c r="F10">
        <v>120</v>
      </c>
      <c r="G10" t="s">
        <v>116</v>
      </c>
      <c r="AH10" t="s">
        <v>117</v>
      </c>
      <c r="AI10" t="s">
        <v>118</v>
      </c>
      <c r="AJ10" t="s">
        <v>57</v>
      </c>
      <c r="AK10" t="s">
        <v>119</v>
      </c>
      <c r="AL10" t="s">
        <v>59</v>
      </c>
      <c r="AM10">
        <v>10</v>
      </c>
      <c r="AN10" t="s">
        <v>87</v>
      </c>
      <c r="AO10" t="s">
        <v>88</v>
      </c>
      <c r="AP10" t="b">
        <v>0</v>
      </c>
      <c r="AQ10" t="s">
        <v>120</v>
      </c>
      <c r="AR10" t="s">
        <v>121</v>
      </c>
      <c r="AS10">
        <v>10</v>
      </c>
      <c r="AW10" t="s">
        <v>60</v>
      </c>
      <c r="AX10">
        <v>1</v>
      </c>
      <c r="AY10" t="s">
        <v>61</v>
      </c>
      <c r="AZ10" t="s">
        <v>62</v>
      </c>
      <c r="BA10" t="s">
        <v>63</v>
      </c>
      <c r="BB10" t="s">
        <v>64</v>
      </c>
      <c r="BC10" t="s">
        <v>65</v>
      </c>
    </row>
    <row r="11" spans="1:55" x14ac:dyDescent="0.45">
      <c r="A11" t="s">
        <v>82</v>
      </c>
      <c r="B11">
        <v>34</v>
      </c>
      <c r="C11">
        <v>0</v>
      </c>
      <c r="D11">
        <v>6</v>
      </c>
      <c r="E11">
        <v>6</v>
      </c>
      <c r="F11">
        <v>33</v>
      </c>
      <c r="G11" t="s">
        <v>122</v>
      </c>
      <c r="AH11" t="s">
        <v>123</v>
      </c>
      <c r="AI11" t="s">
        <v>124</v>
      </c>
      <c r="AJ11" t="s">
        <v>57</v>
      </c>
      <c r="AK11" t="s">
        <v>125</v>
      </c>
      <c r="AL11" t="s">
        <v>59</v>
      </c>
      <c r="AM11">
        <v>10</v>
      </c>
      <c r="AN11" t="s">
        <v>87</v>
      </c>
      <c r="AO11" t="s">
        <v>88</v>
      </c>
      <c r="AP11" t="b">
        <v>0</v>
      </c>
      <c r="AQ11" t="s">
        <v>126</v>
      </c>
      <c r="AR11" t="s">
        <v>127</v>
      </c>
      <c r="AS11">
        <v>10</v>
      </c>
      <c r="AW11" t="s">
        <v>60</v>
      </c>
      <c r="AX11">
        <v>1</v>
      </c>
      <c r="AY11" t="s">
        <v>61</v>
      </c>
      <c r="AZ11" t="s">
        <v>62</v>
      </c>
      <c r="BA11" t="s">
        <v>63</v>
      </c>
      <c r="BB11" t="s">
        <v>64</v>
      </c>
      <c r="BC11" t="s">
        <v>65</v>
      </c>
    </row>
    <row r="12" spans="1:55" x14ac:dyDescent="0.45">
      <c r="A12" t="s">
        <v>82</v>
      </c>
      <c r="B12">
        <v>69</v>
      </c>
      <c r="C12">
        <v>0</v>
      </c>
      <c r="D12">
        <v>7</v>
      </c>
      <c r="E12">
        <v>7</v>
      </c>
      <c r="F12">
        <v>68</v>
      </c>
      <c r="G12" t="s">
        <v>128</v>
      </c>
      <c r="AH12" t="s">
        <v>129</v>
      </c>
      <c r="AI12" t="s">
        <v>130</v>
      </c>
      <c r="AJ12" t="s">
        <v>57</v>
      </c>
      <c r="AK12" t="s">
        <v>131</v>
      </c>
      <c r="AL12" t="s">
        <v>59</v>
      </c>
      <c r="AM12">
        <v>20</v>
      </c>
      <c r="AN12" t="s">
        <v>132</v>
      </c>
      <c r="AO12" t="s">
        <v>133</v>
      </c>
      <c r="AP12" t="b">
        <v>0</v>
      </c>
      <c r="AQ12" t="s">
        <v>134</v>
      </c>
      <c r="AR12" t="s">
        <v>135</v>
      </c>
      <c r="AS12">
        <v>20</v>
      </c>
      <c r="AW12" t="s">
        <v>60</v>
      </c>
      <c r="AX12">
        <v>1</v>
      </c>
      <c r="AY12" t="s">
        <v>61</v>
      </c>
      <c r="AZ12" t="s">
        <v>62</v>
      </c>
      <c r="BA12" t="s">
        <v>63</v>
      </c>
      <c r="BB12" t="s">
        <v>64</v>
      </c>
      <c r="BC12" t="s">
        <v>65</v>
      </c>
    </row>
    <row r="13" spans="1:55" x14ac:dyDescent="0.45">
      <c r="A13" t="s">
        <v>82</v>
      </c>
      <c r="B13">
        <v>91</v>
      </c>
      <c r="C13">
        <v>0</v>
      </c>
      <c r="D13">
        <v>8</v>
      </c>
      <c r="E13">
        <v>8</v>
      </c>
      <c r="F13">
        <v>90</v>
      </c>
      <c r="G13" t="s">
        <v>136</v>
      </c>
      <c r="AH13" t="s">
        <v>137</v>
      </c>
      <c r="AI13" t="s">
        <v>138</v>
      </c>
      <c r="AJ13" t="s">
        <v>57</v>
      </c>
      <c r="AK13" t="s">
        <v>139</v>
      </c>
      <c r="AL13" t="s">
        <v>59</v>
      </c>
      <c r="AM13">
        <v>11</v>
      </c>
      <c r="AN13" t="s">
        <v>140</v>
      </c>
      <c r="AO13" t="s">
        <v>141</v>
      </c>
      <c r="AP13" t="b">
        <v>0</v>
      </c>
      <c r="AQ13" t="s">
        <v>142</v>
      </c>
      <c r="AR13" t="s">
        <v>143</v>
      </c>
      <c r="AS13">
        <v>11</v>
      </c>
      <c r="AW13" t="s">
        <v>60</v>
      </c>
      <c r="AX13">
        <v>1</v>
      </c>
      <c r="AY13" t="s">
        <v>61</v>
      </c>
      <c r="AZ13" t="s">
        <v>62</v>
      </c>
      <c r="BA13" t="s">
        <v>63</v>
      </c>
      <c r="BB13" t="s">
        <v>64</v>
      </c>
      <c r="BC13" t="s">
        <v>65</v>
      </c>
    </row>
    <row r="14" spans="1:55" x14ac:dyDescent="0.45">
      <c r="A14" t="s">
        <v>82</v>
      </c>
      <c r="B14">
        <v>50</v>
      </c>
      <c r="C14">
        <v>0</v>
      </c>
      <c r="D14">
        <v>9</v>
      </c>
      <c r="E14">
        <v>9</v>
      </c>
      <c r="F14">
        <v>49</v>
      </c>
      <c r="G14" t="s">
        <v>144</v>
      </c>
      <c r="AH14" t="s">
        <v>145</v>
      </c>
      <c r="AI14" t="s">
        <v>146</v>
      </c>
      <c r="AJ14" t="s">
        <v>57</v>
      </c>
      <c r="AK14" t="s">
        <v>147</v>
      </c>
      <c r="AL14" t="s">
        <v>59</v>
      </c>
      <c r="AM14">
        <v>20</v>
      </c>
      <c r="AN14" t="s">
        <v>132</v>
      </c>
      <c r="AO14" t="s">
        <v>133</v>
      </c>
      <c r="AP14" t="b">
        <v>0</v>
      </c>
      <c r="AQ14" t="s">
        <v>148</v>
      </c>
      <c r="AR14" t="s">
        <v>149</v>
      </c>
      <c r="AS14">
        <v>20</v>
      </c>
      <c r="AW14" t="s">
        <v>60</v>
      </c>
      <c r="AX14">
        <v>1</v>
      </c>
      <c r="AY14" t="s">
        <v>61</v>
      </c>
      <c r="AZ14" t="s">
        <v>62</v>
      </c>
      <c r="BA14" t="s">
        <v>63</v>
      </c>
      <c r="BB14" t="s">
        <v>64</v>
      </c>
      <c r="BC14" t="s">
        <v>65</v>
      </c>
    </row>
    <row r="15" spans="1:55" x14ac:dyDescent="0.45">
      <c r="A15" t="s">
        <v>82</v>
      </c>
      <c r="B15">
        <v>9</v>
      </c>
      <c r="C15">
        <v>0</v>
      </c>
      <c r="D15">
        <v>10</v>
      </c>
      <c r="E15">
        <v>10</v>
      </c>
      <c r="F15">
        <v>8</v>
      </c>
      <c r="G15" t="s">
        <v>150</v>
      </c>
      <c r="AH15" t="s">
        <v>151</v>
      </c>
      <c r="AI15" t="s">
        <v>152</v>
      </c>
      <c r="AJ15" t="s">
        <v>59</v>
      </c>
      <c r="AM15">
        <v>10</v>
      </c>
      <c r="AN15" t="s">
        <v>87</v>
      </c>
      <c r="AO15" t="s">
        <v>101</v>
      </c>
      <c r="AP15" t="b">
        <v>1</v>
      </c>
      <c r="AQ15" t="s">
        <v>153</v>
      </c>
      <c r="AR15" t="s">
        <v>154</v>
      </c>
      <c r="AS15">
        <v>10</v>
      </c>
      <c r="AW15" t="s">
        <v>60</v>
      </c>
      <c r="AX15">
        <v>1</v>
      </c>
      <c r="AY15" t="s">
        <v>61</v>
      </c>
      <c r="AZ15" t="s">
        <v>62</v>
      </c>
      <c r="BA15" t="s">
        <v>63</v>
      </c>
      <c r="BB15" t="s">
        <v>64</v>
      </c>
      <c r="BC15" t="s">
        <v>65</v>
      </c>
    </row>
    <row r="16" spans="1:55" x14ac:dyDescent="0.45">
      <c r="A16" t="s">
        <v>82</v>
      </c>
      <c r="B16">
        <v>4</v>
      </c>
      <c r="C16">
        <v>0</v>
      </c>
      <c r="D16">
        <v>11</v>
      </c>
      <c r="E16">
        <v>11</v>
      </c>
      <c r="F16">
        <v>3</v>
      </c>
      <c r="G16" t="s">
        <v>155</v>
      </c>
      <c r="AH16" t="s">
        <v>156</v>
      </c>
      <c r="AI16" t="s">
        <v>157</v>
      </c>
      <c r="AJ16" t="s">
        <v>59</v>
      </c>
      <c r="AM16">
        <v>5</v>
      </c>
      <c r="AN16" t="s">
        <v>158</v>
      </c>
      <c r="AO16" t="s">
        <v>101</v>
      </c>
      <c r="AP16" t="b">
        <v>1</v>
      </c>
      <c r="AQ16" t="s">
        <v>159</v>
      </c>
      <c r="AR16" t="s">
        <v>160</v>
      </c>
      <c r="AS16">
        <v>5</v>
      </c>
      <c r="AW16" t="s">
        <v>60</v>
      </c>
      <c r="AX16">
        <v>1</v>
      </c>
      <c r="AY16" t="s">
        <v>61</v>
      </c>
      <c r="AZ16" t="s">
        <v>62</v>
      </c>
      <c r="BA16" t="s">
        <v>63</v>
      </c>
      <c r="BB16" t="s">
        <v>64</v>
      </c>
      <c r="BC16" t="s">
        <v>65</v>
      </c>
    </row>
    <row r="17" spans="1:55" x14ac:dyDescent="0.45">
      <c r="A17" t="s">
        <v>82</v>
      </c>
      <c r="B17">
        <v>65</v>
      </c>
      <c r="C17">
        <v>0</v>
      </c>
      <c r="D17">
        <v>12</v>
      </c>
      <c r="E17">
        <v>12</v>
      </c>
      <c r="F17">
        <v>64</v>
      </c>
      <c r="G17" t="s">
        <v>161</v>
      </c>
      <c r="AH17" t="s">
        <v>162</v>
      </c>
      <c r="AI17" t="s">
        <v>163</v>
      </c>
      <c r="AJ17" t="s">
        <v>57</v>
      </c>
      <c r="AK17" t="s">
        <v>164</v>
      </c>
      <c r="AL17" t="s">
        <v>59</v>
      </c>
      <c r="AM17">
        <v>20</v>
      </c>
      <c r="AN17" t="s">
        <v>132</v>
      </c>
      <c r="AO17" t="s">
        <v>133</v>
      </c>
      <c r="AP17" t="b">
        <v>0</v>
      </c>
      <c r="AQ17" t="s">
        <v>165</v>
      </c>
      <c r="AR17" t="s">
        <v>166</v>
      </c>
      <c r="AS17">
        <v>20</v>
      </c>
      <c r="AW17" t="s">
        <v>60</v>
      </c>
      <c r="AX17">
        <v>1</v>
      </c>
      <c r="AY17" t="s">
        <v>61</v>
      </c>
      <c r="AZ17" t="s">
        <v>62</v>
      </c>
      <c r="BA17" t="s">
        <v>63</v>
      </c>
      <c r="BB17" t="s">
        <v>64</v>
      </c>
      <c r="BC17" t="s">
        <v>65</v>
      </c>
    </row>
    <row r="18" spans="1:55" x14ac:dyDescent="0.45">
      <c r="A18" t="s">
        <v>82</v>
      </c>
      <c r="B18">
        <v>92</v>
      </c>
      <c r="C18">
        <v>0</v>
      </c>
      <c r="D18">
        <v>13</v>
      </c>
      <c r="E18">
        <v>13</v>
      </c>
      <c r="F18">
        <v>91</v>
      </c>
      <c r="G18" t="s">
        <v>167</v>
      </c>
      <c r="AH18" t="s">
        <v>168</v>
      </c>
      <c r="AI18" t="s">
        <v>169</v>
      </c>
      <c r="AJ18" t="s">
        <v>57</v>
      </c>
      <c r="AK18" t="s">
        <v>170</v>
      </c>
      <c r="AL18" t="s">
        <v>59</v>
      </c>
      <c r="AM18">
        <v>47</v>
      </c>
      <c r="AN18" t="s">
        <v>171</v>
      </c>
      <c r="AO18" t="s">
        <v>172</v>
      </c>
      <c r="AP18" t="b">
        <v>0</v>
      </c>
      <c r="AQ18" t="s">
        <v>173</v>
      </c>
      <c r="AR18" t="s">
        <v>174</v>
      </c>
      <c r="AS18">
        <v>47</v>
      </c>
      <c r="AW18" t="s">
        <v>60</v>
      </c>
      <c r="AX18">
        <v>1</v>
      </c>
      <c r="AY18" t="s">
        <v>61</v>
      </c>
      <c r="AZ18" t="s">
        <v>62</v>
      </c>
      <c r="BA18" t="s">
        <v>63</v>
      </c>
      <c r="BB18" t="s">
        <v>64</v>
      </c>
      <c r="BC18" t="s">
        <v>65</v>
      </c>
    </row>
    <row r="19" spans="1:55" x14ac:dyDescent="0.45">
      <c r="A19" t="s">
        <v>82</v>
      </c>
      <c r="B19">
        <v>5</v>
      </c>
      <c r="C19">
        <v>0</v>
      </c>
      <c r="D19">
        <v>14</v>
      </c>
      <c r="E19">
        <v>14</v>
      </c>
      <c r="F19">
        <v>4</v>
      </c>
      <c r="G19" t="s">
        <v>175</v>
      </c>
      <c r="AH19" t="s">
        <v>176</v>
      </c>
      <c r="AI19" t="s">
        <v>177</v>
      </c>
      <c r="AJ19" t="s">
        <v>59</v>
      </c>
      <c r="AM19">
        <v>6</v>
      </c>
      <c r="AN19" t="s">
        <v>178</v>
      </c>
      <c r="AO19" t="s">
        <v>101</v>
      </c>
      <c r="AP19" t="b">
        <v>1</v>
      </c>
      <c r="AQ19" t="s">
        <v>179</v>
      </c>
      <c r="AR19" t="s">
        <v>180</v>
      </c>
      <c r="AS19">
        <v>6</v>
      </c>
      <c r="AW19" t="s">
        <v>60</v>
      </c>
      <c r="AX19">
        <v>1</v>
      </c>
      <c r="AY19" t="s">
        <v>61</v>
      </c>
      <c r="AZ19" t="s">
        <v>62</v>
      </c>
      <c r="BA19" t="s">
        <v>63</v>
      </c>
      <c r="BB19" t="s">
        <v>64</v>
      </c>
      <c r="BC19" t="s">
        <v>65</v>
      </c>
    </row>
    <row r="20" spans="1:55" x14ac:dyDescent="0.45">
      <c r="A20" t="s">
        <v>82</v>
      </c>
      <c r="B20">
        <v>82</v>
      </c>
      <c r="C20">
        <v>0</v>
      </c>
      <c r="D20">
        <v>15</v>
      </c>
      <c r="E20">
        <v>15</v>
      </c>
      <c r="F20">
        <v>81</v>
      </c>
      <c r="G20" t="s">
        <v>181</v>
      </c>
      <c r="AH20" t="s">
        <v>182</v>
      </c>
      <c r="AI20" t="s">
        <v>183</v>
      </c>
      <c r="AJ20" t="s">
        <v>57</v>
      </c>
      <c r="AK20" t="s">
        <v>184</v>
      </c>
      <c r="AL20" t="s">
        <v>59</v>
      </c>
      <c r="AM20">
        <v>40</v>
      </c>
      <c r="AN20" t="s">
        <v>185</v>
      </c>
      <c r="AO20" t="s">
        <v>186</v>
      </c>
      <c r="AP20" t="b">
        <v>0</v>
      </c>
      <c r="AQ20" t="s">
        <v>187</v>
      </c>
      <c r="AR20" t="s">
        <v>188</v>
      </c>
      <c r="AS20">
        <v>40</v>
      </c>
      <c r="AW20" t="s">
        <v>60</v>
      </c>
      <c r="AX20">
        <v>1</v>
      </c>
      <c r="AY20" t="s">
        <v>61</v>
      </c>
      <c r="AZ20" t="s">
        <v>62</v>
      </c>
      <c r="BA20" t="s">
        <v>63</v>
      </c>
      <c r="BB20" t="s">
        <v>64</v>
      </c>
      <c r="BC20" t="s">
        <v>65</v>
      </c>
    </row>
    <row r="21" spans="1:55" x14ac:dyDescent="0.45">
      <c r="A21" t="s">
        <v>82</v>
      </c>
      <c r="B21">
        <v>17</v>
      </c>
      <c r="C21">
        <v>0</v>
      </c>
      <c r="D21">
        <v>16</v>
      </c>
      <c r="E21">
        <v>16</v>
      </c>
      <c r="F21">
        <v>16</v>
      </c>
      <c r="G21" t="s">
        <v>189</v>
      </c>
      <c r="AH21" t="s">
        <v>190</v>
      </c>
      <c r="AI21" t="s">
        <v>191</v>
      </c>
      <c r="AJ21" t="s">
        <v>59</v>
      </c>
      <c r="AM21">
        <v>18</v>
      </c>
      <c r="AN21" t="s">
        <v>192</v>
      </c>
      <c r="AO21" t="s">
        <v>101</v>
      </c>
      <c r="AP21" t="b">
        <v>1</v>
      </c>
      <c r="AQ21" t="s">
        <v>193</v>
      </c>
      <c r="AR21" t="s">
        <v>194</v>
      </c>
      <c r="AS21">
        <v>18</v>
      </c>
      <c r="AW21" t="s">
        <v>60</v>
      </c>
      <c r="AX21">
        <v>1</v>
      </c>
      <c r="AY21" t="s">
        <v>61</v>
      </c>
      <c r="AZ21" t="s">
        <v>62</v>
      </c>
      <c r="BA21" t="s">
        <v>63</v>
      </c>
      <c r="BB21" t="s">
        <v>64</v>
      </c>
      <c r="BC21" t="s">
        <v>65</v>
      </c>
    </row>
    <row r="22" spans="1:55" x14ac:dyDescent="0.45">
      <c r="A22" t="s">
        <v>82</v>
      </c>
      <c r="B22">
        <v>64</v>
      </c>
      <c r="C22">
        <v>0</v>
      </c>
      <c r="D22">
        <v>17</v>
      </c>
      <c r="E22">
        <v>17</v>
      </c>
      <c r="F22">
        <v>63</v>
      </c>
      <c r="G22" t="s">
        <v>195</v>
      </c>
      <c r="AH22" t="s">
        <v>196</v>
      </c>
      <c r="AI22" t="s">
        <v>197</v>
      </c>
      <c r="AJ22" t="s">
        <v>57</v>
      </c>
      <c r="AK22" t="s">
        <v>198</v>
      </c>
      <c r="AL22" t="s">
        <v>59</v>
      </c>
      <c r="AM22">
        <v>30</v>
      </c>
      <c r="AN22" t="s">
        <v>199</v>
      </c>
      <c r="AO22" t="s">
        <v>200</v>
      </c>
      <c r="AP22" t="b">
        <v>0</v>
      </c>
      <c r="AQ22" t="s">
        <v>201</v>
      </c>
      <c r="AR22" t="s">
        <v>202</v>
      </c>
      <c r="AS22">
        <v>30</v>
      </c>
      <c r="AW22" t="s">
        <v>60</v>
      </c>
      <c r="AX22">
        <v>1</v>
      </c>
      <c r="AY22" t="s">
        <v>61</v>
      </c>
      <c r="AZ22" t="s">
        <v>62</v>
      </c>
      <c r="BA22" t="s">
        <v>63</v>
      </c>
      <c r="BB22" t="s">
        <v>64</v>
      </c>
      <c r="BC22" t="s">
        <v>65</v>
      </c>
    </row>
    <row r="23" spans="1:55" x14ac:dyDescent="0.45">
      <c r="A23" t="s">
        <v>82</v>
      </c>
      <c r="B23">
        <v>120</v>
      </c>
      <c r="C23">
        <v>0</v>
      </c>
      <c r="D23">
        <v>18</v>
      </c>
      <c r="E23">
        <v>18</v>
      </c>
      <c r="F23">
        <v>119</v>
      </c>
      <c r="G23" t="s">
        <v>203</v>
      </c>
      <c r="AH23" t="s">
        <v>204</v>
      </c>
      <c r="AI23" t="s">
        <v>205</v>
      </c>
      <c r="AJ23" t="s">
        <v>57</v>
      </c>
      <c r="AK23" t="s">
        <v>206</v>
      </c>
      <c r="AL23" t="s">
        <v>59</v>
      </c>
      <c r="AM23">
        <v>40</v>
      </c>
      <c r="AN23" t="s">
        <v>185</v>
      </c>
      <c r="AO23" t="s">
        <v>186</v>
      </c>
      <c r="AP23" t="b">
        <v>0</v>
      </c>
      <c r="AQ23" t="s">
        <v>207</v>
      </c>
      <c r="AR23" t="s">
        <v>208</v>
      </c>
      <c r="AS23">
        <v>40</v>
      </c>
      <c r="AW23" t="s">
        <v>60</v>
      </c>
      <c r="AX23">
        <v>1</v>
      </c>
      <c r="AY23" t="s">
        <v>61</v>
      </c>
      <c r="AZ23" t="s">
        <v>62</v>
      </c>
      <c r="BA23" t="s">
        <v>63</v>
      </c>
      <c r="BB23" t="s">
        <v>64</v>
      </c>
      <c r="BC23" t="s">
        <v>65</v>
      </c>
    </row>
    <row r="24" spans="1:55" x14ac:dyDescent="0.45">
      <c r="A24" t="s">
        <v>82</v>
      </c>
      <c r="B24">
        <v>48</v>
      </c>
      <c r="C24">
        <v>0</v>
      </c>
      <c r="D24">
        <v>19</v>
      </c>
      <c r="E24">
        <v>19</v>
      </c>
      <c r="F24">
        <v>47</v>
      </c>
      <c r="G24" t="s">
        <v>209</v>
      </c>
      <c r="AH24" t="s">
        <v>210</v>
      </c>
      <c r="AI24" t="s">
        <v>211</v>
      </c>
      <c r="AJ24" t="s">
        <v>57</v>
      </c>
      <c r="AK24" t="s">
        <v>212</v>
      </c>
      <c r="AL24" t="s">
        <v>59</v>
      </c>
      <c r="AM24">
        <v>40</v>
      </c>
      <c r="AN24" t="s">
        <v>185</v>
      </c>
      <c r="AO24" t="s">
        <v>186</v>
      </c>
      <c r="AP24" t="b">
        <v>0</v>
      </c>
      <c r="AQ24" t="s">
        <v>213</v>
      </c>
      <c r="AR24" t="s">
        <v>214</v>
      </c>
      <c r="AS24">
        <v>40</v>
      </c>
      <c r="AW24" t="s">
        <v>60</v>
      </c>
      <c r="AX24">
        <v>1</v>
      </c>
      <c r="AY24" t="s">
        <v>61</v>
      </c>
      <c r="AZ24" t="s">
        <v>62</v>
      </c>
      <c r="BA24" t="s">
        <v>63</v>
      </c>
      <c r="BB24" t="s">
        <v>64</v>
      </c>
      <c r="BC24" t="s">
        <v>65</v>
      </c>
    </row>
    <row r="25" spans="1:55" x14ac:dyDescent="0.45">
      <c r="G25" t="s">
        <v>215</v>
      </c>
      <c r="AH25" t="s">
        <v>216</v>
      </c>
      <c r="AT25" t="s">
        <v>217</v>
      </c>
      <c r="AU25" t="s">
        <v>218</v>
      </c>
      <c r="AV25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MM28031953</vt:lpstr>
      <vt:lpstr>MM28031953_bart2_2024-07-17_16h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2024-07-19T14:30:31Z</dcterms:created>
  <dcterms:modified xsi:type="dcterms:W3CDTF">2024-07-24T09:21:11Z</dcterms:modified>
</cp:coreProperties>
</file>