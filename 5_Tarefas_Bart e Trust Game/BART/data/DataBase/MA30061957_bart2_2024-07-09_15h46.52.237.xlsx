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C0725821-7DA8-4DE5-92F3-4C555D1CFA6A}" xr6:coauthVersionLast="47" xr6:coauthVersionMax="47" xr10:uidLastSave="{00000000-0000-0000-0000-000000000000}"/>
  <bookViews>
    <workbookView xWindow="0" yWindow="0" windowWidth="10260" windowHeight="13080" xr2:uid="{117C3BBE-4013-4F99-8106-D06EBE157613}"/>
  </bookViews>
  <sheets>
    <sheet name="MA30061957" sheetId="2" r:id="rId1"/>
    <sheet name="MA30061957_bart2_2024-07-09_15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E22" i="2"/>
</calcChain>
</file>

<file path=xl/sharedStrings.xml><?xml version="1.0" encoding="utf-8"?>
<sst xmlns="http://schemas.openxmlformats.org/spreadsheetml/2006/main" count="442" uniqueCount="218">
  <si>
    <t>imageFile</t>
  </si>
  <si>
    <t>maxPumps</t>
  </si>
  <si>
    <t>trials_2.thisRepN</t>
  </si>
  <si>
    <t>trials_2.thisTrialN</t>
  </si>
  <si>
    <t>trials_2.thisN</t>
  </si>
  <si>
    <t>trials_2.thisIndex</t>
  </si>
  <si>
    <t>thisRow.t</t>
  </si>
  <si>
    <t>notes</t>
  </si>
  <si>
    <t>welcome.started</t>
  </si>
  <si>
    <t>welcome.stopped</t>
  </si>
  <si>
    <t>resposta_.keys</t>
  </si>
  <si>
    <t>resposta_.rt</t>
  </si>
  <si>
    <t>resposta_.duration</t>
  </si>
  <si>
    <t>bart_manual.started</t>
  </si>
  <si>
    <t>bart_manual.stopped</t>
  </si>
  <si>
    <t>instructions.started</t>
  </si>
  <si>
    <t>instructions.stopped</t>
  </si>
  <si>
    <t>mouse_1.x</t>
  </si>
  <si>
    <t>mouse_1.y</t>
  </si>
  <si>
    <t>mouse_1.leftButton</t>
  </si>
  <si>
    <t>mouse_1.midButton</t>
  </si>
  <si>
    <t>mouse_1.rightButton</t>
  </si>
  <si>
    <t>mouse_1.time</t>
  </si>
  <si>
    <t>mouse_1.clicked_name</t>
  </si>
  <si>
    <t>instructions_2.started</t>
  </si>
  <si>
    <t>instructions_2.stopped</t>
  </si>
  <si>
    <t>mouse_2.x</t>
  </si>
  <si>
    <t>mouse_2.y</t>
  </si>
  <si>
    <t>mouse_2.leftButton</t>
  </si>
  <si>
    <t>mouse_2.midButton</t>
  </si>
  <si>
    <t>mouse_2.rightButton</t>
  </si>
  <si>
    <t>mouse_2.time</t>
  </si>
  <si>
    <t>mouse_2.clicked_name</t>
  </si>
  <si>
    <t>trial_2.started</t>
  </si>
  <si>
    <t>trial_2.stopped</t>
  </si>
  <si>
    <t>bankButton.keys</t>
  </si>
  <si>
    <t>bankButton.rt</t>
  </si>
  <si>
    <t>bankButton.duration</t>
  </si>
  <si>
    <t>nPumps</t>
  </si>
  <si>
    <t>size</t>
  </si>
  <si>
    <t>earnings</t>
  </si>
  <si>
    <t>popped</t>
  </si>
  <si>
    <t>feedback_2.started</t>
  </si>
  <si>
    <t>feedback_2.stopped</t>
  </si>
  <si>
    <t>subjResponse</t>
  </si>
  <si>
    <t>final_score.started</t>
  </si>
  <si>
    <t>final_score.stopped</t>
  </si>
  <si>
    <t>farwell.started</t>
  </si>
  <si>
    <t>farwell.stopped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</si>
  <si>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</si>
  <si>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</si>
  <si>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</si>
  <si>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</si>
  <si>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</si>
  <si>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</si>
  <si>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</si>
  <si>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0.0054212499962886795</t>
  </si>
  <si>
    <t>9.014738917001523</t>
  </si>
  <si>
    <t>return</t>
  </si>
  <si>
    <t>8.99541579200013</t>
  </si>
  <si>
    <t>None</t>
  </si>
  <si>
    <t>MA30061957</t>
  </si>
  <si>
    <t>2024-07-09_15h46.52.237</t>
  </si>
  <si>
    <t>bart2</t>
  </si>
  <si>
    <t>2023.2.3</t>
  </si>
  <si>
    <t>119.95567636824995</t>
  </si>
  <si>
    <t>2024-07-09 15h47.16.220270 +0100</t>
  </si>
  <si>
    <t>9.014753583003767</t>
  </si>
  <si>
    <t>10.014027291996172</t>
  </si>
  <si>
    <t>10.014065458002733</t>
  </si>
  <si>
    <t>23.841108291991986</t>
  </si>
  <si>
    <t>[0.5166666666666667]</t>
  </si>
  <si>
    <t>[-0.7933333333333333]</t>
  </si>
  <si>
    <t>[1]</t>
  </si>
  <si>
    <t>[0]</t>
  </si>
  <si>
    <t>[13.76233924999542]</t>
  </si>
  <si>
    <t>['seta_avançar']</t>
  </si>
  <si>
    <t>23.841214917003526</t>
  </si>
  <si>
    <t>34.43565695799771</t>
  </si>
  <si>
    <t>[0.5236111111111111]</t>
  </si>
  <si>
    <t>[-0.7755555555555556]</t>
  </si>
  <si>
    <t>[10.589274083991768]</t>
  </si>
  <si>
    <t>['seta_avançar_2']</t>
  </si>
  <si>
    <t>blueBalloon.jpg</t>
  </si>
  <si>
    <t>34.56832750000467</t>
  </si>
  <si>
    <t>34.501077958004316</t>
  </si>
  <si>
    <t>57.39619670799584</t>
  </si>
  <si>
    <t>22.82743679199484</t>
  </si>
  <si>
    <t>0.4</t>
  </si>
  <si>
    <t>10.0</t>
  </si>
  <si>
    <t>57.39687262500229</t>
  </si>
  <si>
    <t>59.40029274999688</t>
  </si>
  <si>
    <t>59.44391991700104</t>
  </si>
  <si>
    <t>59.40056024999649</t>
  </si>
  <si>
    <t>78.89412529199035</t>
  </si>
  <si>
    <t>19.4497523750033</t>
  </si>
  <si>
    <t>0.5499999999999999</t>
  </si>
  <si>
    <t>15.0</t>
  </si>
  <si>
    <t>78.89444950000325</t>
  </si>
  <si>
    <t>80.89634150000347</t>
  </si>
  <si>
    <t>80.93839829199715</t>
  </si>
  <si>
    <t>80.89694891699764</t>
  </si>
  <si>
    <t>98.46396891699987</t>
  </si>
  <si>
    <t>17.52514279099705</t>
  </si>
  <si>
    <t>0.7</t>
  </si>
  <si>
    <t>20.0</t>
  </si>
  <si>
    <t>98.46425499999896</t>
  </si>
  <si>
    <t>100.46751620799478</t>
  </si>
  <si>
    <t>100.5083257919905</t>
  </si>
  <si>
    <t>100.4677901249961</t>
  </si>
  <si>
    <t>117.55714545799128</t>
  </si>
  <si>
    <t>17.048394166995422</t>
  </si>
  <si>
    <t>117.55743116699159</t>
  </si>
  <si>
    <t>119.56370450000395</t>
  </si>
  <si>
    <t>119.60706012499577</t>
  </si>
  <si>
    <t>119.56435658299597</t>
  </si>
  <si>
    <t>144.30763199999637</t>
  </si>
  <si>
    <t>24.700069208003697</t>
  </si>
  <si>
    <t>0.85</t>
  </si>
  <si>
    <t>25.0</t>
  </si>
  <si>
    <t>144.30792179200216</t>
  </si>
  <si>
    <t>146.3139917919907</t>
  </si>
  <si>
    <t>146.3564347920037</t>
  </si>
  <si>
    <t>146.31462445799843</t>
  </si>
  <si>
    <t>160.1469417079934</t>
  </si>
  <si>
    <t>13.7900041660032</t>
  </si>
  <si>
    <t>160.14725549999275</t>
  </si>
  <si>
    <t>162.15192091699282</t>
  </si>
  <si>
    <t>162.19240716699278</t>
  </si>
  <si>
    <t>162.15221366699552</t>
  </si>
  <si>
    <t>178.04844158299966</t>
  </si>
  <si>
    <t>15.85561429100926</t>
  </si>
  <si>
    <t>178.04872249999607</t>
  </si>
  <si>
    <t>180.05920345800405</t>
  </si>
  <si>
    <t>180.10339741699863</t>
  </si>
  <si>
    <t>180.0598431249964</t>
  </si>
  <si>
    <t>190.36528970800282</t>
  </si>
  <si>
    <t>10.26145579200238</t>
  </si>
  <si>
    <t>190.36557637499936</t>
  </si>
  <si>
    <t>192.3720854580024</t>
  </si>
  <si>
    <t>192.41581012499228</t>
  </si>
  <si>
    <t>192.37271879200125</t>
  </si>
  <si>
    <t>196.975567417001</t>
  </si>
  <si>
    <t>0.0</t>
  </si>
  <si>
    <t>196.9757977919944</t>
  </si>
  <si>
    <t>198.9815714580036</t>
  </si>
  <si>
    <t>199.02388791699195</t>
  </si>
  <si>
    <t>198.9822432499932</t>
  </si>
  <si>
    <t>214.59435983299045</t>
  </si>
  <si>
    <t>15.57004562500515</t>
  </si>
  <si>
    <t>214.59463916700042</t>
  </si>
  <si>
    <t>216.598848041991</t>
  </si>
  <si>
    <t>216.64123941700382</t>
  </si>
  <si>
    <t>216.59945058300218</t>
  </si>
  <si>
    <t>224.40172879199963</t>
  </si>
  <si>
    <t>7.7599923749949085</t>
  </si>
  <si>
    <t>224.40203795800335</t>
  </si>
  <si>
    <t>226.41558375000022</t>
  </si>
  <si>
    <t>226.45990316699317</t>
  </si>
  <si>
    <t>226.41630533299758</t>
  </si>
  <si>
    <t>230.1496305000037</t>
  </si>
  <si>
    <t>0.31</t>
  </si>
  <si>
    <t>230.1498662919912</t>
  </si>
  <si>
    <t>232.15902550000465</t>
  </si>
  <si>
    <t>232.20113804200082</t>
  </si>
  <si>
    <t>232.15967829199508</t>
  </si>
  <si>
    <t>236.59275362499466</t>
  </si>
  <si>
    <t>0.28</t>
  </si>
  <si>
    <t>236.59297662500467</t>
  </si>
  <si>
    <t>238.60297350000474</t>
  </si>
  <si>
    <t>238.6425694579957</t>
  </si>
  <si>
    <t>238.60326224999153</t>
  </si>
  <si>
    <t>249.6453311249934</t>
  </si>
  <si>
    <t>11.002337541998713</t>
  </si>
  <si>
    <t>249.64562545799708</t>
  </si>
  <si>
    <t>251.64916795799218</t>
  </si>
  <si>
    <t>251.69274858299468</t>
  </si>
  <si>
    <t>251.64990808299626</t>
  </si>
  <si>
    <t>262.41630412499944</t>
  </si>
  <si>
    <t>10.723132416998851</t>
  </si>
  <si>
    <t>262.4165928750008</t>
  </si>
  <si>
    <t>264.42702887499763</t>
  </si>
  <si>
    <t>264.4701229999919</t>
  </si>
  <si>
    <t>264.42772266699467</t>
  </si>
  <si>
    <t>273.8260722499981</t>
  </si>
  <si>
    <t>9.3554390000063</t>
  </si>
  <si>
    <t>273.82635725</t>
  </si>
  <si>
    <t>275.8282612079929</t>
  </si>
  <si>
    <t>275.87039941699186</t>
  </si>
  <si>
    <t>275.8285130830045</t>
  </si>
  <si>
    <t>285.2026247079921</t>
  </si>
  <si>
    <t>9.331762834000983</t>
  </si>
  <si>
    <t>285.20290954200027</t>
  </si>
  <si>
    <t>287.2110429579916</t>
  </si>
  <si>
    <t>287.2532693749963</t>
  </si>
  <si>
    <t>287.2116586249904</t>
  </si>
  <si>
    <t>289.69342450000113</t>
  </si>
  <si>
    <t>0.22</t>
  </si>
  <si>
    <t>289.6936577079905</t>
  </si>
  <si>
    <t>291.7016051669925</t>
  </si>
  <si>
    <t>291.7425477920042</t>
  </si>
  <si>
    <t>291.7023011249985</t>
  </si>
  <si>
    <t>305.2219754580001</t>
  </si>
  <si>
    <t>13.478920165987802</t>
  </si>
  <si>
    <t>305.2222725000029</t>
  </si>
  <si>
    <t>307.2262130829913</t>
  </si>
  <si>
    <t>307.2688669999916</t>
  </si>
  <si>
    <t>307.2268927499972</t>
  </si>
  <si>
    <t>316.2600035420037</t>
  </si>
  <si>
    <t>8.990711375008686</t>
  </si>
  <si>
    <t>316.2602982499957</t>
  </si>
  <si>
    <t>318.26926929199544</t>
  </si>
  <si>
    <t>318.29867220799497</t>
  </si>
  <si>
    <t>318.2699017499981</t>
  </si>
  <si>
    <t>318.28275445799227</t>
  </si>
  <si>
    <t>323.26923945799354</t>
  </si>
  <si>
    <t>323.2692678329913</t>
  </si>
  <si>
    <t>331.2622523750033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</si>
</sst>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55EF-F473-4DF7-8F53-99DC428B7528}">
  <dimension ref="A1:E22"/>
  <sheetViews>
    <sheetView tabSelected="1" workbookViewId="0">
      <selection activeCell="D22" sqref="D22:E22"/>
    </sheetView>
  </sheetViews>
  <sheetFormatPr defaultRowHeight="14.25" x14ac:dyDescent="0.45"/>
  <sheetData>
    <row r="1" spans="1:5" x14ac:dyDescent="0.45">
      <c r="A1" t="s">
        <v>1</v>
      </c>
      <c r="B1" t="s">
        <v>4</v>
      </c>
      <c r="C1" t="s">
        <v>38</v>
      </c>
      <c r="D1" t="s">
        <v>40</v>
      </c>
      <c r="E1" t="s">
        <v>41</v>
      </c>
    </row>
    <row r="2" spans="1:5" x14ac:dyDescent="0.45">
      <c r="A2">
        <v>113</v>
      </c>
      <c r="B2">
        <v>0</v>
      </c>
      <c r="C2">
        <v>20</v>
      </c>
      <c r="D2">
        <v>10</v>
      </c>
      <c r="E2" t="b">
        <v>0</v>
      </c>
    </row>
    <row r="3" spans="1:5" x14ac:dyDescent="0.45">
      <c r="A3">
        <v>111</v>
      </c>
      <c r="B3">
        <v>1</v>
      </c>
      <c r="C3">
        <v>30</v>
      </c>
      <c r="D3">
        <v>15</v>
      </c>
      <c r="E3" t="b">
        <v>0</v>
      </c>
    </row>
    <row r="4" spans="1:5" x14ac:dyDescent="0.45">
      <c r="A4">
        <v>62</v>
      </c>
      <c r="B4">
        <v>2</v>
      </c>
      <c r="C4">
        <v>40</v>
      </c>
      <c r="D4">
        <v>20</v>
      </c>
      <c r="E4" t="b">
        <v>0</v>
      </c>
    </row>
    <row r="5" spans="1:5" x14ac:dyDescent="0.45">
      <c r="A5">
        <v>51</v>
      </c>
      <c r="B5">
        <v>3</v>
      </c>
      <c r="C5">
        <v>40</v>
      </c>
      <c r="D5">
        <v>20</v>
      </c>
      <c r="E5" t="b">
        <v>0</v>
      </c>
    </row>
    <row r="6" spans="1:5" x14ac:dyDescent="0.45">
      <c r="A6">
        <v>101</v>
      </c>
      <c r="B6">
        <v>4</v>
      </c>
      <c r="C6">
        <v>50</v>
      </c>
      <c r="D6">
        <v>25</v>
      </c>
      <c r="E6" t="b">
        <v>0</v>
      </c>
    </row>
    <row r="7" spans="1:5" x14ac:dyDescent="0.45">
      <c r="A7">
        <v>53</v>
      </c>
      <c r="B7">
        <v>5</v>
      </c>
      <c r="C7">
        <v>30</v>
      </c>
      <c r="D7">
        <v>15</v>
      </c>
      <c r="E7" t="b">
        <v>0</v>
      </c>
    </row>
    <row r="8" spans="1:5" x14ac:dyDescent="0.45">
      <c r="A8">
        <v>43</v>
      </c>
      <c r="B8">
        <v>6</v>
      </c>
      <c r="C8">
        <v>40</v>
      </c>
      <c r="D8">
        <v>20</v>
      </c>
      <c r="E8" t="b">
        <v>0</v>
      </c>
    </row>
    <row r="9" spans="1:5" x14ac:dyDescent="0.45">
      <c r="A9">
        <v>85</v>
      </c>
      <c r="B9">
        <v>7</v>
      </c>
      <c r="C9">
        <v>30</v>
      </c>
      <c r="D9">
        <v>15</v>
      </c>
      <c r="E9" t="b">
        <v>0</v>
      </c>
    </row>
    <row r="10" spans="1:5" x14ac:dyDescent="0.45">
      <c r="A10">
        <v>19</v>
      </c>
      <c r="B10">
        <v>8</v>
      </c>
      <c r="C10">
        <v>20</v>
      </c>
      <c r="D10">
        <v>0</v>
      </c>
      <c r="E10" t="b">
        <v>1</v>
      </c>
    </row>
    <row r="11" spans="1:5" x14ac:dyDescent="0.45">
      <c r="A11">
        <v>84</v>
      </c>
      <c r="B11">
        <v>9</v>
      </c>
      <c r="C11">
        <v>30</v>
      </c>
      <c r="D11">
        <v>15</v>
      </c>
      <c r="E11" t="b">
        <v>0</v>
      </c>
    </row>
    <row r="12" spans="1:5" x14ac:dyDescent="0.45">
      <c r="A12">
        <v>73</v>
      </c>
      <c r="B12">
        <v>10</v>
      </c>
      <c r="C12">
        <v>20</v>
      </c>
      <c r="D12">
        <v>10</v>
      </c>
      <c r="E12" t="b">
        <v>0</v>
      </c>
    </row>
    <row r="13" spans="1:5" x14ac:dyDescent="0.45">
      <c r="A13">
        <v>13</v>
      </c>
      <c r="B13">
        <v>11</v>
      </c>
      <c r="C13">
        <v>14</v>
      </c>
      <c r="D13">
        <v>0</v>
      </c>
      <c r="E13" t="b">
        <v>1</v>
      </c>
    </row>
    <row r="14" spans="1:5" x14ac:dyDescent="0.45">
      <c r="A14">
        <v>11</v>
      </c>
      <c r="B14">
        <v>12</v>
      </c>
      <c r="C14">
        <v>12</v>
      </c>
      <c r="D14">
        <v>0</v>
      </c>
      <c r="E14" t="b">
        <v>1</v>
      </c>
    </row>
    <row r="15" spans="1:5" x14ac:dyDescent="0.45">
      <c r="A15">
        <v>87</v>
      </c>
      <c r="B15">
        <v>13</v>
      </c>
      <c r="C15">
        <v>20</v>
      </c>
      <c r="D15">
        <v>10</v>
      </c>
      <c r="E15" t="b">
        <v>0</v>
      </c>
    </row>
    <row r="16" spans="1:5" x14ac:dyDescent="0.45">
      <c r="A16">
        <v>69</v>
      </c>
      <c r="B16">
        <v>14</v>
      </c>
      <c r="C16">
        <v>20</v>
      </c>
      <c r="D16">
        <v>10</v>
      </c>
      <c r="E16" t="b">
        <v>0</v>
      </c>
    </row>
    <row r="17" spans="1:5" x14ac:dyDescent="0.45">
      <c r="A17">
        <v>102</v>
      </c>
      <c r="B17">
        <v>15</v>
      </c>
      <c r="C17">
        <v>20</v>
      </c>
      <c r="D17">
        <v>10</v>
      </c>
      <c r="E17" t="b">
        <v>0</v>
      </c>
    </row>
    <row r="18" spans="1:5" x14ac:dyDescent="0.45">
      <c r="A18">
        <v>83</v>
      </c>
      <c r="B18">
        <v>16</v>
      </c>
      <c r="C18">
        <v>20</v>
      </c>
      <c r="D18">
        <v>10</v>
      </c>
      <c r="E18" t="b">
        <v>0</v>
      </c>
    </row>
    <row r="19" spans="1:5" x14ac:dyDescent="0.45">
      <c r="A19">
        <v>7</v>
      </c>
      <c r="B19">
        <v>17</v>
      </c>
      <c r="C19">
        <v>8</v>
      </c>
      <c r="D19">
        <v>0</v>
      </c>
      <c r="E19" t="b">
        <v>1</v>
      </c>
    </row>
    <row r="20" spans="1:5" x14ac:dyDescent="0.45">
      <c r="A20">
        <v>45</v>
      </c>
      <c r="B20">
        <v>18</v>
      </c>
      <c r="C20">
        <v>20</v>
      </c>
      <c r="D20">
        <v>10</v>
      </c>
      <c r="E20" t="b">
        <v>0</v>
      </c>
    </row>
    <row r="21" spans="1:5" x14ac:dyDescent="0.45">
      <c r="A21">
        <v>122</v>
      </c>
      <c r="B21">
        <v>19</v>
      </c>
      <c r="C21">
        <v>20</v>
      </c>
      <c r="D21">
        <v>10</v>
      </c>
      <c r="E21" t="b">
        <v>0</v>
      </c>
    </row>
    <row r="22" spans="1:5" x14ac:dyDescent="0.45">
      <c r="D22">
        <f>SUM(D2:D21)</f>
        <v>225</v>
      </c>
      <c r="E22">
        <f>COUNTIF(E2:E21,"TRUE")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D573-D9E0-44C8-9DC5-304CFD812D10}">
  <dimension ref="A1:BD25"/>
  <sheetViews>
    <sheetView workbookViewId="0">
      <selection sqref="A1:A1048576"/>
    </sheetView>
  </sheetViews>
  <sheetFormatPr defaultRowHeight="14.25" x14ac:dyDescent="0.45"/>
  <sheetData>
    <row r="1" spans="1:5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45">
      <c r="I2" t="s">
        <v>56</v>
      </c>
      <c r="J2" t="s">
        <v>57</v>
      </c>
      <c r="K2" t="s">
        <v>58</v>
      </c>
      <c r="L2" t="s">
        <v>59</v>
      </c>
      <c r="M2" t="s">
        <v>60</v>
      </c>
      <c r="AX2" t="s">
        <v>61</v>
      </c>
      <c r="AY2">
        <v>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</row>
    <row r="3" spans="1:56" x14ac:dyDescent="0.45"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74</v>
      </c>
      <c r="W3" t="s">
        <v>75</v>
      </c>
      <c r="X3" t="s">
        <v>76</v>
      </c>
      <c r="AX3" t="s">
        <v>61</v>
      </c>
      <c r="AY3">
        <v>1</v>
      </c>
      <c r="AZ3" t="s">
        <v>62</v>
      </c>
      <c r="BA3" t="s">
        <v>63</v>
      </c>
      <c r="BB3" t="s">
        <v>64</v>
      </c>
      <c r="BC3" t="s">
        <v>65</v>
      </c>
      <c r="BD3" t="s">
        <v>66</v>
      </c>
    </row>
    <row r="4" spans="1:56" x14ac:dyDescent="0.45">
      <c r="Y4" t="s">
        <v>77</v>
      </c>
      <c r="Z4" t="s">
        <v>78</v>
      </c>
      <c r="AA4" t="s">
        <v>79</v>
      </c>
      <c r="AB4" t="s">
        <v>80</v>
      </c>
      <c r="AC4" t="s">
        <v>73</v>
      </c>
      <c r="AD4" t="s">
        <v>74</v>
      </c>
      <c r="AE4" t="s">
        <v>74</v>
      </c>
      <c r="AF4" t="s">
        <v>81</v>
      </c>
      <c r="AG4" t="s">
        <v>82</v>
      </c>
      <c r="AX4" t="s">
        <v>61</v>
      </c>
      <c r="AY4">
        <v>1</v>
      </c>
      <c r="AZ4" t="s">
        <v>62</v>
      </c>
      <c r="BA4" t="s">
        <v>63</v>
      </c>
      <c r="BB4" t="s">
        <v>64</v>
      </c>
      <c r="BC4" t="s">
        <v>65</v>
      </c>
      <c r="BD4" t="s">
        <v>66</v>
      </c>
    </row>
    <row r="5" spans="1:56" x14ac:dyDescent="0.45">
      <c r="A5" t="s">
        <v>83</v>
      </c>
      <c r="B5">
        <v>113</v>
      </c>
      <c r="C5">
        <v>0</v>
      </c>
      <c r="D5">
        <v>0</v>
      </c>
      <c r="E5">
        <v>0</v>
      </c>
      <c r="F5">
        <v>112</v>
      </c>
      <c r="G5" t="s">
        <v>84</v>
      </c>
      <c r="AH5" t="s">
        <v>85</v>
      </c>
      <c r="AI5" t="s">
        <v>86</v>
      </c>
      <c r="AJ5" t="s">
        <v>58</v>
      </c>
      <c r="AK5" t="s">
        <v>87</v>
      </c>
      <c r="AL5" t="s">
        <v>60</v>
      </c>
      <c r="AM5">
        <v>20</v>
      </c>
      <c r="AN5" t="s">
        <v>88</v>
      </c>
      <c r="AO5" t="s">
        <v>89</v>
      </c>
      <c r="AP5" t="b">
        <v>0</v>
      </c>
      <c r="AQ5" t="s">
        <v>90</v>
      </c>
      <c r="AR5" t="s">
        <v>91</v>
      </c>
      <c r="AS5">
        <v>20</v>
      </c>
      <c r="AX5" t="s">
        <v>61</v>
      </c>
      <c r="AY5">
        <v>1</v>
      </c>
      <c r="AZ5" t="s">
        <v>62</v>
      </c>
      <c r="BA5" t="s">
        <v>63</v>
      </c>
      <c r="BB5" t="s">
        <v>64</v>
      </c>
      <c r="BC5" t="s">
        <v>65</v>
      </c>
      <c r="BD5" t="s">
        <v>66</v>
      </c>
    </row>
    <row r="6" spans="1:56" x14ac:dyDescent="0.45">
      <c r="A6" t="s">
        <v>83</v>
      </c>
      <c r="B6">
        <v>111</v>
      </c>
      <c r="C6">
        <v>0</v>
      </c>
      <c r="D6">
        <v>1</v>
      </c>
      <c r="E6">
        <v>1</v>
      </c>
      <c r="F6">
        <v>110</v>
      </c>
      <c r="G6" t="s">
        <v>92</v>
      </c>
      <c r="AH6" t="s">
        <v>93</v>
      </c>
      <c r="AI6" t="s">
        <v>94</v>
      </c>
      <c r="AJ6" t="s">
        <v>58</v>
      </c>
      <c r="AK6" t="s">
        <v>95</v>
      </c>
      <c r="AL6" t="s">
        <v>60</v>
      </c>
      <c r="AM6">
        <v>30</v>
      </c>
      <c r="AN6" t="s">
        <v>96</v>
      </c>
      <c r="AO6" t="s">
        <v>97</v>
      </c>
      <c r="AP6" t="b">
        <v>0</v>
      </c>
      <c r="AQ6" t="s">
        <v>98</v>
      </c>
      <c r="AR6" t="s">
        <v>99</v>
      </c>
      <c r="AS6">
        <v>30</v>
      </c>
      <c r="AX6" t="s">
        <v>61</v>
      </c>
      <c r="AY6">
        <v>1</v>
      </c>
      <c r="AZ6" t="s">
        <v>62</v>
      </c>
      <c r="BA6" t="s">
        <v>63</v>
      </c>
      <c r="BB6" t="s">
        <v>64</v>
      </c>
      <c r="BC6" t="s">
        <v>65</v>
      </c>
      <c r="BD6" t="s">
        <v>66</v>
      </c>
    </row>
    <row r="7" spans="1:56" x14ac:dyDescent="0.45">
      <c r="A7" t="s">
        <v>83</v>
      </c>
      <c r="B7">
        <v>62</v>
      </c>
      <c r="C7">
        <v>0</v>
      </c>
      <c r="D7">
        <v>2</v>
      </c>
      <c r="E7">
        <v>2</v>
      </c>
      <c r="F7">
        <v>61</v>
      </c>
      <c r="G7" t="s">
        <v>100</v>
      </c>
      <c r="AH7" t="s">
        <v>101</v>
      </c>
      <c r="AI7" t="s">
        <v>102</v>
      </c>
      <c r="AJ7" t="s">
        <v>58</v>
      </c>
      <c r="AK7" t="s">
        <v>103</v>
      </c>
      <c r="AL7" t="s">
        <v>60</v>
      </c>
      <c r="AM7">
        <v>40</v>
      </c>
      <c r="AN7" t="s">
        <v>104</v>
      </c>
      <c r="AO7" t="s">
        <v>105</v>
      </c>
      <c r="AP7" t="b">
        <v>0</v>
      </c>
      <c r="AQ7" t="s">
        <v>106</v>
      </c>
      <c r="AR7" t="s">
        <v>107</v>
      </c>
      <c r="AS7">
        <v>40</v>
      </c>
      <c r="AX7" t="s">
        <v>61</v>
      </c>
      <c r="AY7">
        <v>1</v>
      </c>
      <c r="AZ7" t="s">
        <v>62</v>
      </c>
      <c r="BA7" t="s">
        <v>63</v>
      </c>
      <c r="BB7" t="s">
        <v>64</v>
      </c>
      <c r="BC7" t="s">
        <v>65</v>
      </c>
      <c r="BD7" t="s">
        <v>66</v>
      </c>
    </row>
    <row r="8" spans="1:56" x14ac:dyDescent="0.45">
      <c r="A8" t="s">
        <v>83</v>
      </c>
      <c r="B8">
        <v>51</v>
      </c>
      <c r="C8">
        <v>0</v>
      </c>
      <c r="D8">
        <v>3</v>
      </c>
      <c r="E8">
        <v>3</v>
      </c>
      <c r="F8">
        <v>50</v>
      </c>
      <c r="G8" t="s">
        <v>108</v>
      </c>
      <c r="AH8" t="s">
        <v>109</v>
      </c>
      <c r="AI8" t="s">
        <v>110</v>
      </c>
      <c r="AJ8" t="s">
        <v>58</v>
      </c>
      <c r="AK8" t="s">
        <v>111</v>
      </c>
      <c r="AL8" t="s">
        <v>60</v>
      </c>
      <c r="AM8">
        <v>40</v>
      </c>
      <c r="AN8" t="s">
        <v>104</v>
      </c>
      <c r="AO8" t="s">
        <v>105</v>
      </c>
      <c r="AP8" t="b">
        <v>0</v>
      </c>
      <c r="AQ8" t="s">
        <v>112</v>
      </c>
      <c r="AR8" t="s">
        <v>113</v>
      </c>
      <c r="AS8">
        <v>40</v>
      </c>
      <c r="AX8" t="s">
        <v>61</v>
      </c>
      <c r="AY8">
        <v>1</v>
      </c>
      <c r="AZ8" t="s">
        <v>62</v>
      </c>
      <c r="BA8" t="s">
        <v>63</v>
      </c>
      <c r="BB8" t="s">
        <v>64</v>
      </c>
      <c r="BC8" t="s">
        <v>65</v>
      </c>
      <c r="BD8" t="s">
        <v>66</v>
      </c>
    </row>
    <row r="9" spans="1:56" x14ac:dyDescent="0.45">
      <c r="A9" t="s">
        <v>83</v>
      </c>
      <c r="B9">
        <v>101</v>
      </c>
      <c r="C9">
        <v>0</v>
      </c>
      <c r="D9">
        <v>4</v>
      </c>
      <c r="E9">
        <v>4</v>
      </c>
      <c r="F9">
        <v>100</v>
      </c>
      <c r="G9" t="s">
        <v>114</v>
      </c>
      <c r="AH9" t="s">
        <v>115</v>
      </c>
      <c r="AI9" t="s">
        <v>116</v>
      </c>
      <c r="AJ9" t="s">
        <v>58</v>
      </c>
      <c r="AK9" t="s">
        <v>117</v>
      </c>
      <c r="AL9" t="s">
        <v>60</v>
      </c>
      <c r="AM9">
        <v>50</v>
      </c>
      <c r="AN9" t="s">
        <v>118</v>
      </c>
      <c r="AO9" t="s">
        <v>119</v>
      </c>
      <c r="AP9" t="b">
        <v>0</v>
      </c>
      <c r="AQ9" t="s">
        <v>120</v>
      </c>
      <c r="AR9" t="s">
        <v>121</v>
      </c>
      <c r="AS9">
        <v>50</v>
      </c>
      <c r="AX9" t="s">
        <v>61</v>
      </c>
      <c r="AY9">
        <v>1</v>
      </c>
      <c r="AZ9" t="s">
        <v>62</v>
      </c>
      <c r="BA9" t="s">
        <v>63</v>
      </c>
      <c r="BB9" t="s">
        <v>64</v>
      </c>
      <c r="BC9" t="s">
        <v>65</v>
      </c>
      <c r="BD9" t="s">
        <v>66</v>
      </c>
    </row>
    <row r="10" spans="1:56" x14ac:dyDescent="0.45">
      <c r="A10" t="s">
        <v>83</v>
      </c>
      <c r="B10">
        <v>53</v>
      </c>
      <c r="C10">
        <v>0</v>
      </c>
      <c r="D10">
        <v>5</v>
      </c>
      <c r="E10">
        <v>5</v>
      </c>
      <c r="F10">
        <v>52</v>
      </c>
      <c r="G10" t="s">
        <v>122</v>
      </c>
      <c r="AH10" t="s">
        <v>123</v>
      </c>
      <c r="AI10" t="s">
        <v>124</v>
      </c>
      <c r="AJ10" t="s">
        <v>58</v>
      </c>
      <c r="AK10" t="s">
        <v>125</v>
      </c>
      <c r="AL10" t="s">
        <v>60</v>
      </c>
      <c r="AM10">
        <v>30</v>
      </c>
      <c r="AN10" t="s">
        <v>96</v>
      </c>
      <c r="AO10" t="s">
        <v>97</v>
      </c>
      <c r="AP10" t="b">
        <v>0</v>
      </c>
      <c r="AQ10" t="s">
        <v>126</v>
      </c>
      <c r="AR10" t="s">
        <v>127</v>
      </c>
      <c r="AS10">
        <v>30</v>
      </c>
      <c r="AX10" t="s">
        <v>61</v>
      </c>
      <c r="AY10">
        <v>1</v>
      </c>
      <c r="AZ10" t="s">
        <v>62</v>
      </c>
      <c r="BA10" t="s">
        <v>63</v>
      </c>
      <c r="BB10" t="s">
        <v>64</v>
      </c>
      <c r="BC10" t="s">
        <v>65</v>
      </c>
      <c r="BD10" t="s">
        <v>66</v>
      </c>
    </row>
    <row r="11" spans="1:56" x14ac:dyDescent="0.45">
      <c r="A11" t="s">
        <v>83</v>
      </c>
      <c r="B11">
        <v>43</v>
      </c>
      <c r="C11">
        <v>0</v>
      </c>
      <c r="D11">
        <v>6</v>
      </c>
      <c r="E11">
        <v>6</v>
      </c>
      <c r="F11">
        <v>42</v>
      </c>
      <c r="G11" t="s">
        <v>128</v>
      </c>
      <c r="AH11" t="s">
        <v>129</v>
      </c>
      <c r="AI11" t="s">
        <v>130</v>
      </c>
      <c r="AJ11" t="s">
        <v>58</v>
      </c>
      <c r="AK11" t="s">
        <v>131</v>
      </c>
      <c r="AL11" t="s">
        <v>60</v>
      </c>
      <c r="AM11">
        <v>40</v>
      </c>
      <c r="AN11" t="s">
        <v>104</v>
      </c>
      <c r="AO11" t="s">
        <v>105</v>
      </c>
      <c r="AP11" t="b">
        <v>0</v>
      </c>
      <c r="AQ11" t="s">
        <v>132</v>
      </c>
      <c r="AR11" t="s">
        <v>133</v>
      </c>
      <c r="AS11">
        <v>40</v>
      </c>
      <c r="AX11" t="s">
        <v>61</v>
      </c>
      <c r="AY11">
        <v>1</v>
      </c>
      <c r="AZ11" t="s">
        <v>62</v>
      </c>
      <c r="BA11" t="s">
        <v>63</v>
      </c>
      <c r="BB11" t="s">
        <v>64</v>
      </c>
      <c r="BC11" t="s">
        <v>65</v>
      </c>
      <c r="BD11" t="s">
        <v>66</v>
      </c>
    </row>
    <row r="12" spans="1:56" x14ac:dyDescent="0.45">
      <c r="A12" t="s">
        <v>83</v>
      </c>
      <c r="B12">
        <v>85</v>
      </c>
      <c r="C12">
        <v>0</v>
      </c>
      <c r="D12">
        <v>7</v>
      </c>
      <c r="E12">
        <v>7</v>
      </c>
      <c r="F12">
        <v>84</v>
      </c>
      <c r="G12" t="s">
        <v>134</v>
      </c>
      <c r="AH12" t="s">
        <v>135</v>
      </c>
      <c r="AI12" t="s">
        <v>136</v>
      </c>
      <c r="AJ12" t="s">
        <v>58</v>
      </c>
      <c r="AK12" t="s">
        <v>137</v>
      </c>
      <c r="AL12" t="s">
        <v>60</v>
      </c>
      <c r="AM12">
        <v>30</v>
      </c>
      <c r="AN12" t="s">
        <v>96</v>
      </c>
      <c r="AO12" t="s">
        <v>97</v>
      </c>
      <c r="AP12" t="b">
        <v>0</v>
      </c>
      <c r="AQ12" t="s">
        <v>138</v>
      </c>
      <c r="AR12" t="s">
        <v>139</v>
      </c>
      <c r="AS12">
        <v>30</v>
      </c>
      <c r="AX12" t="s">
        <v>61</v>
      </c>
      <c r="AY12">
        <v>1</v>
      </c>
      <c r="AZ12" t="s">
        <v>62</v>
      </c>
      <c r="BA12" t="s">
        <v>63</v>
      </c>
      <c r="BB12" t="s">
        <v>64</v>
      </c>
      <c r="BC12" t="s">
        <v>65</v>
      </c>
      <c r="BD12" t="s">
        <v>66</v>
      </c>
    </row>
    <row r="13" spans="1:56" x14ac:dyDescent="0.45">
      <c r="A13" t="s">
        <v>83</v>
      </c>
      <c r="B13">
        <v>19</v>
      </c>
      <c r="C13">
        <v>0</v>
      </c>
      <c r="D13">
        <v>8</v>
      </c>
      <c r="E13">
        <v>8</v>
      </c>
      <c r="F13">
        <v>18</v>
      </c>
      <c r="G13" t="s">
        <v>140</v>
      </c>
      <c r="AH13" t="s">
        <v>141</v>
      </c>
      <c r="AI13" t="s">
        <v>142</v>
      </c>
      <c r="AJ13" t="s">
        <v>60</v>
      </c>
      <c r="AM13">
        <v>20</v>
      </c>
      <c r="AN13" t="s">
        <v>88</v>
      </c>
      <c r="AO13" t="s">
        <v>143</v>
      </c>
      <c r="AP13" t="b">
        <v>1</v>
      </c>
      <c r="AQ13" t="s">
        <v>144</v>
      </c>
      <c r="AR13" t="s">
        <v>145</v>
      </c>
      <c r="AS13">
        <v>20</v>
      </c>
      <c r="AX13" t="s">
        <v>61</v>
      </c>
      <c r="AY13">
        <v>1</v>
      </c>
      <c r="AZ13" t="s">
        <v>62</v>
      </c>
      <c r="BA13" t="s">
        <v>63</v>
      </c>
      <c r="BB13" t="s">
        <v>64</v>
      </c>
      <c r="BC13" t="s">
        <v>65</v>
      </c>
      <c r="BD13" t="s">
        <v>66</v>
      </c>
    </row>
    <row r="14" spans="1:56" x14ac:dyDescent="0.45">
      <c r="A14" t="s">
        <v>83</v>
      </c>
      <c r="B14">
        <v>84</v>
      </c>
      <c r="C14">
        <v>0</v>
      </c>
      <c r="D14">
        <v>9</v>
      </c>
      <c r="E14">
        <v>9</v>
      </c>
      <c r="F14">
        <v>83</v>
      </c>
      <c r="G14" t="s">
        <v>146</v>
      </c>
      <c r="AH14" t="s">
        <v>147</v>
      </c>
      <c r="AI14" t="s">
        <v>148</v>
      </c>
      <c r="AJ14" t="s">
        <v>58</v>
      </c>
      <c r="AK14" t="s">
        <v>149</v>
      </c>
      <c r="AL14" t="s">
        <v>60</v>
      </c>
      <c r="AM14">
        <v>30</v>
      </c>
      <c r="AN14" t="s">
        <v>96</v>
      </c>
      <c r="AO14" t="s">
        <v>97</v>
      </c>
      <c r="AP14" t="b">
        <v>0</v>
      </c>
      <c r="AQ14" t="s">
        <v>150</v>
      </c>
      <c r="AR14" t="s">
        <v>151</v>
      </c>
      <c r="AS14">
        <v>30</v>
      </c>
      <c r="AX14" t="s">
        <v>61</v>
      </c>
      <c r="AY14">
        <v>1</v>
      </c>
      <c r="AZ14" t="s">
        <v>62</v>
      </c>
      <c r="BA14" t="s">
        <v>63</v>
      </c>
      <c r="BB14" t="s">
        <v>64</v>
      </c>
      <c r="BC14" t="s">
        <v>65</v>
      </c>
      <c r="BD14" t="s">
        <v>66</v>
      </c>
    </row>
    <row r="15" spans="1:56" x14ac:dyDescent="0.45">
      <c r="A15" t="s">
        <v>83</v>
      </c>
      <c r="B15">
        <v>73</v>
      </c>
      <c r="C15">
        <v>0</v>
      </c>
      <c r="D15">
        <v>10</v>
      </c>
      <c r="E15">
        <v>10</v>
      </c>
      <c r="F15">
        <v>72</v>
      </c>
      <c r="G15" t="s">
        <v>152</v>
      </c>
      <c r="AH15" t="s">
        <v>153</v>
      </c>
      <c r="AI15" t="s">
        <v>154</v>
      </c>
      <c r="AJ15" t="s">
        <v>58</v>
      </c>
      <c r="AK15" t="s">
        <v>155</v>
      </c>
      <c r="AL15" t="s">
        <v>60</v>
      </c>
      <c r="AM15">
        <v>20</v>
      </c>
      <c r="AN15" t="s">
        <v>88</v>
      </c>
      <c r="AO15" t="s">
        <v>89</v>
      </c>
      <c r="AP15" t="b">
        <v>0</v>
      </c>
      <c r="AQ15" t="s">
        <v>156</v>
      </c>
      <c r="AR15" t="s">
        <v>157</v>
      </c>
      <c r="AS15">
        <v>20</v>
      </c>
      <c r="AX15" t="s">
        <v>61</v>
      </c>
      <c r="AY15">
        <v>1</v>
      </c>
      <c r="AZ15" t="s">
        <v>62</v>
      </c>
      <c r="BA15" t="s">
        <v>63</v>
      </c>
      <c r="BB15" t="s">
        <v>64</v>
      </c>
      <c r="BC15" t="s">
        <v>65</v>
      </c>
      <c r="BD15" t="s">
        <v>66</v>
      </c>
    </row>
    <row r="16" spans="1:56" x14ac:dyDescent="0.45">
      <c r="A16" t="s">
        <v>83</v>
      </c>
      <c r="B16">
        <v>13</v>
      </c>
      <c r="C16">
        <v>0</v>
      </c>
      <c r="D16">
        <v>11</v>
      </c>
      <c r="E16">
        <v>11</v>
      </c>
      <c r="F16">
        <v>12</v>
      </c>
      <c r="G16" t="s">
        <v>158</v>
      </c>
      <c r="AH16" t="s">
        <v>159</v>
      </c>
      <c r="AI16" t="s">
        <v>160</v>
      </c>
      <c r="AJ16" t="s">
        <v>60</v>
      </c>
      <c r="AM16">
        <v>14</v>
      </c>
      <c r="AN16" t="s">
        <v>161</v>
      </c>
      <c r="AO16" t="s">
        <v>143</v>
      </c>
      <c r="AP16" t="b">
        <v>1</v>
      </c>
      <c r="AQ16" t="s">
        <v>162</v>
      </c>
      <c r="AR16" t="s">
        <v>163</v>
      </c>
      <c r="AS16">
        <v>14</v>
      </c>
      <c r="AX16" t="s">
        <v>61</v>
      </c>
      <c r="AY16">
        <v>1</v>
      </c>
      <c r="AZ16" t="s">
        <v>62</v>
      </c>
      <c r="BA16" t="s">
        <v>63</v>
      </c>
      <c r="BB16" t="s">
        <v>64</v>
      </c>
      <c r="BC16" t="s">
        <v>65</v>
      </c>
      <c r="BD16" t="s">
        <v>66</v>
      </c>
    </row>
    <row r="17" spans="1:56" x14ac:dyDescent="0.45">
      <c r="A17" t="s">
        <v>83</v>
      </c>
      <c r="B17">
        <v>11</v>
      </c>
      <c r="C17">
        <v>0</v>
      </c>
      <c r="D17">
        <v>12</v>
      </c>
      <c r="E17">
        <v>12</v>
      </c>
      <c r="F17">
        <v>10</v>
      </c>
      <c r="G17" t="s">
        <v>164</v>
      </c>
      <c r="AH17" t="s">
        <v>165</v>
      </c>
      <c r="AI17" t="s">
        <v>166</v>
      </c>
      <c r="AJ17" t="s">
        <v>60</v>
      </c>
      <c r="AM17">
        <v>12</v>
      </c>
      <c r="AN17" t="s">
        <v>167</v>
      </c>
      <c r="AO17" t="s">
        <v>143</v>
      </c>
      <c r="AP17" t="b">
        <v>1</v>
      </c>
      <c r="AQ17" t="s">
        <v>168</v>
      </c>
      <c r="AR17" t="s">
        <v>169</v>
      </c>
      <c r="AS17">
        <v>12</v>
      </c>
      <c r="AX17" t="s">
        <v>61</v>
      </c>
      <c r="AY17">
        <v>1</v>
      </c>
      <c r="AZ17" t="s">
        <v>62</v>
      </c>
      <c r="BA17" t="s">
        <v>63</v>
      </c>
      <c r="BB17" t="s">
        <v>64</v>
      </c>
      <c r="BC17" t="s">
        <v>65</v>
      </c>
      <c r="BD17" t="s">
        <v>66</v>
      </c>
    </row>
    <row r="18" spans="1:56" x14ac:dyDescent="0.45">
      <c r="A18" t="s">
        <v>83</v>
      </c>
      <c r="B18">
        <v>87</v>
      </c>
      <c r="C18">
        <v>0</v>
      </c>
      <c r="D18">
        <v>13</v>
      </c>
      <c r="E18">
        <v>13</v>
      </c>
      <c r="F18">
        <v>86</v>
      </c>
      <c r="G18" t="s">
        <v>170</v>
      </c>
      <c r="AH18" t="s">
        <v>171</v>
      </c>
      <c r="AI18" t="s">
        <v>172</v>
      </c>
      <c r="AJ18" t="s">
        <v>58</v>
      </c>
      <c r="AK18" t="s">
        <v>173</v>
      </c>
      <c r="AL18" t="s">
        <v>60</v>
      </c>
      <c r="AM18">
        <v>20</v>
      </c>
      <c r="AN18" t="s">
        <v>88</v>
      </c>
      <c r="AO18" t="s">
        <v>89</v>
      </c>
      <c r="AP18" t="b">
        <v>0</v>
      </c>
      <c r="AQ18" t="s">
        <v>174</v>
      </c>
      <c r="AR18" t="s">
        <v>175</v>
      </c>
      <c r="AS18">
        <v>20</v>
      </c>
      <c r="AX18" t="s">
        <v>61</v>
      </c>
      <c r="AY18">
        <v>1</v>
      </c>
      <c r="AZ18" t="s">
        <v>62</v>
      </c>
      <c r="BA18" t="s">
        <v>63</v>
      </c>
      <c r="BB18" t="s">
        <v>64</v>
      </c>
      <c r="BC18" t="s">
        <v>65</v>
      </c>
      <c r="BD18" t="s">
        <v>66</v>
      </c>
    </row>
    <row r="19" spans="1:56" x14ac:dyDescent="0.45">
      <c r="A19" t="s">
        <v>83</v>
      </c>
      <c r="B19">
        <v>69</v>
      </c>
      <c r="C19">
        <v>0</v>
      </c>
      <c r="D19">
        <v>14</v>
      </c>
      <c r="E19">
        <v>14</v>
      </c>
      <c r="F19">
        <v>68</v>
      </c>
      <c r="G19" t="s">
        <v>176</v>
      </c>
      <c r="AH19" t="s">
        <v>177</v>
      </c>
      <c r="AI19" t="s">
        <v>178</v>
      </c>
      <c r="AJ19" t="s">
        <v>58</v>
      </c>
      <c r="AK19" t="s">
        <v>179</v>
      </c>
      <c r="AL19" t="s">
        <v>60</v>
      </c>
      <c r="AM19">
        <v>20</v>
      </c>
      <c r="AN19" t="s">
        <v>88</v>
      </c>
      <c r="AO19" t="s">
        <v>89</v>
      </c>
      <c r="AP19" t="b">
        <v>0</v>
      </c>
      <c r="AQ19" t="s">
        <v>180</v>
      </c>
      <c r="AR19" t="s">
        <v>181</v>
      </c>
      <c r="AS19">
        <v>20</v>
      </c>
      <c r="AX19" t="s">
        <v>61</v>
      </c>
      <c r="AY19">
        <v>1</v>
      </c>
      <c r="AZ19" t="s">
        <v>62</v>
      </c>
      <c r="BA19" t="s">
        <v>63</v>
      </c>
      <c r="BB19" t="s">
        <v>64</v>
      </c>
      <c r="BC19" t="s">
        <v>65</v>
      </c>
      <c r="BD19" t="s">
        <v>66</v>
      </c>
    </row>
    <row r="20" spans="1:56" x14ac:dyDescent="0.45">
      <c r="A20" t="s">
        <v>83</v>
      </c>
      <c r="B20">
        <v>102</v>
      </c>
      <c r="C20">
        <v>0</v>
      </c>
      <c r="D20">
        <v>15</v>
      </c>
      <c r="E20">
        <v>15</v>
      </c>
      <c r="F20">
        <v>101</v>
      </c>
      <c r="G20" t="s">
        <v>182</v>
      </c>
      <c r="AH20" t="s">
        <v>183</v>
      </c>
      <c r="AI20" t="s">
        <v>184</v>
      </c>
      <c r="AJ20" t="s">
        <v>58</v>
      </c>
      <c r="AK20" t="s">
        <v>185</v>
      </c>
      <c r="AL20" t="s">
        <v>60</v>
      </c>
      <c r="AM20">
        <v>20</v>
      </c>
      <c r="AN20" t="s">
        <v>88</v>
      </c>
      <c r="AO20" t="s">
        <v>89</v>
      </c>
      <c r="AP20" t="b">
        <v>0</v>
      </c>
      <c r="AQ20" t="s">
        <v>186</v>
      </c>
      <c r="AR20" t="s">
        <v>187</v>
      </c>
      <c r="AS20">
        <v>20</v>
      </c>
      <c r="AX20" t="s">
        <v>61</v>
      </c>
      <c r="AY20">
        <v>1</v>
      </c>
      <c r="AZ20" t="s">
        <v>62</v>
      </c>
      <c r="BA20" t="s">
        <v>63</v>
      </c>
      <c r="BB20" t="s">
        <v>64</v>
      </c>
      <c r="BC20" t="s">
        <v>65</v>
      </c>
      <c r="BD20" t="s">
        <v>66</v>
      </c>
    </row>
    <row r="21" spans="1:56" x14ac:dyDescent="0.45">
      <c r="A21" t="s">
        <v>83</v>
      </c>
      <c r="B21">
        <v>83</v>
      </c>
      <c r="C21">
        <v>0</v>
      </c>
      <c r="D21">
        <v>16</v>
      </c>
      <c r="E21">
        <v>16</v>
      </c>
      <c r="F21">
        <v>82</v>
      </c>
      <c r="G21" t="s">
        <v>188</v>
      </c>
      <c r="AH21" t="s">
        <v>189</v>
      </c>
      <c r="AI21" t="s">
        <v>190</v>
      </c>
      <c r="AJ21" t="s">
        <v>58</v>
      </c>
      <c r="AK21" t="s">
        <v>191</v>
      </c>
      <c r="AL21" t="s">
        <v>60</v>
      </c>
      <c r="AM21">
        <v>20</v>
      </c>
      <c r="AN21" t="s">
        <v>88</v>
      </c>
      <c r="AO21" t="s">
        <v>89</v>
      </c>
      <c r="AP21" t="b">
        <v>0</v>
      </c>
      <c r="AQ21" t="s">
        <v>192</v>
      </c>
      <c r="AR21" t="s">
        <v>193</v>
      </c>
      <c r="AS21">
        <v>20</v>
      </c>
      <c r="AX21" t="s">
        <v>61</v>
      </c>
      <c r="AY21">
        <v>1</v>
      </c>
      <c r="AZ21" t="s">
        <v>62</v>
      </c>
      <c r="BA21" t="s">
        <v>63</v>
      </c>
      <c r="BB21" t="s">
        <v>64</v>
      </c>
      <c r="BC21" t="s">
        <v>65</v>
      </c>
      <c r="BD21" t="s">
        <v>66</v>
      </c>
    </row>
    <row r="22" spans="1:56" x14ac:dyDescent="0.45">
      <c r="A22" t="s">
        <v>83</v>
      </c>
      <c r="B22">
        <v>7</v>
      </c>
      <c r="C22">
        <v>0</v>
      </c>
      <c r="D22">
        <v>17</v>
      </c>
      <c r="E22">
        <v>17</v>
      </c>
      <c r="F22">
        <v>6</v>
      </c>
      <c r="G22" t="s">
        <v>194</v>
      </c>
      <c r="AH22" t="s">
        <v>195</v>
      </c>
      <c r="AI22" t="s">
        <v>196</v>
      </c>
      <c r="AJ22" t="s">
        <v>60</v>
      </c>
      <c r="AM22">
        <v>8</v>
      </c>
      <c r="AN22" t="s">
        <v>197</v>
      </c>
      <c r="AO22" t="s">
        <v>143</v>
      </c>
      <c r="AP22" t="b">
        <v>1</v>
      </c>
      <c r="AQ22" t="s">
        <v>198</v>
      </c>
      <c r="AR22" t="s">
        <v>199</v>
      </c>
      <c r="AS22">
        <v>8</v>
      </c>
      <c r="AX22" t="s">
        <v>61</v>
      </c>
      <c r="AY22">
        <v>1</v>
      </c>
      <c r="AZ22" t="s">
        <v>62</v>
      </c>
      <c r="BA22" t="s">
        <v>63</v>
      </c>
      <c r="BB22" t="s">
        <v>64</v>
      </c>
      <c r="BC22" t="s">
        <v>65</v>
      </c>
      <c r="BD22" t="s">
        <v>66</v>
      </c>
    </row>
    <row r="23" spans="1:56" x14ac:dyDescent="0.45">
      <c r="A23" t="s">
        <v>83</v>
      </c>
      <c r="B23">
        <v>45</v>
      </c>
      <c r="C23">
        <v>0</v>
      </c>
      <c r="D23">
        <v>18</v>
      </c>
      <c r="E23">
        <v>18</v>
      </c>
      <c r="F23">
        <v>44</v>
      </c>
      <c r="G23" t="s">
        <v>200</v>
      </c>
      <c r="AH23" t="s">
        <v>201</v>
      </c>
      <c r="AI23" t="s">
        <v>202</v>
      </c>
      <c r="AJ23" t="s">
        <v>58</v>
      </c>
      <c r="AK23" t="s">
        <v>203</v>
      </c>
      <c r="AL23" t="s">
        <v>60</v>
      </c>
      <c r="AM23">
        <v>20</v>
      </c>
      <c r="AN23" t="s">
        <v>88</v>
      </c>
      <c r="AO23" t="s">
        <v>89</v>
      </c>
      <c r="AP23" t="b">
        <v>0</v>
      </c>
      <c r="AQ23" t="s">
        <v>204</v>
      </c>
      <c r="AR23" t="s">
        <v>205</v>
      </c>
      <c r="AS23">
        <v>20</v>
      </c>
      <c r="AX23" t="s">
        <v>61</v>
      </c>
      <c r="AY23">
        <v>1</v>
      </c>
      <c r="AZ23" t="s">
        <v>62</v>
      </c>
      <c r="BA23" t="s">
        <v>63</v>
      </c>
      <c r="BB23" t="s">
        <v>64</v>
      </c>
      <c r="BC23" t="s">
        <v>65</v>
      </c>
      <c r="BD23" t="s">
        <v>66</v>
      </c>
    </row>
    <row r="24" spans="1:56" x14ac:dyDescent="0.45">
      <c r="A24" t="s">
        <v>83</v>
      </c>
      <c r="B24">
        <v>122</v>
      </c>
      <c r="C24">
        <v>0</v>
      </c>
      <c r="D24">
        <v>19</v>
      </c>
      <c r="E24">
        <v>19</v>
      </c>
      <c r="F24">
        <v>121</v>
      </c>
      <c r="G24" t="s">
        <v>206</v>
      </c>
      <c r="AH24" t="s">
        <v>207</v>
      </c>
      <c r="AI24" t="s">
        <v>208</v>
      </c>
      <c r="AJ24" t="s">
        <v>58</v>
      </c>
      <c r="AK24" t="s">
        <v>209</v>
      </c>
      <c r="AL24" t="s">
        <v>60</v>
      </c>
      <c r="AM24">
        <v>20</v>
      </c>
      <c r="AN24" t="s">
        <v>88</v>
      </c>
      <c r="AO24" t="s">
        <v>89</v>
      </c>
      <c r="AP24" t="b">
        <v>0</v>
      </c>
      <c r="AQ24" t="s">
        <v>210</v>
      </c>
      <c r="AR24" t="s">
        <v>211</v>
      </c>
      <c r="AS24">
        <v>20</v>
      </c>
      <c r="AX24" t="s">
        <v>61</v>
      </c>
      <c r="AY24">
        <v>1</v>
      </c>
      <c r="AZ24" t="s">
        <v>62</v>
      </c>
      <c r="BA24" t="s">
        <v>63</v>
      </c>
      <c r="BB24" t="s">
        <v>64</v>
      </c>
      <c r="BC24" t="s">
        <v>65</v>
      </c>
      <c r="BD24" t="s">
        <v>66</v>
      </c>
    </row>
    <row r="25" spans="1:56" x14ac:dyDescent="0.45">
      <c r="G25" t="s">
        <v>212</v>
      </c>
      <c r="AH25" t="s">
        <v>213</v>
      </c>
      <c r="AT25" t="s">
        <v>214</v>
      </c>
      <c r="AU25" t="s">
        <v>215</v>
      </c>
      <c r="AV25" t="s">
        <v>216</v>
      </c>
      <c r="AW2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MA30061957</vt:lpstr>
      <vt:lpstr>MA30061957_bart2_2024-07-09_15h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2024-07-19T14:13:47Z</dcterms:created>
  <dcterms:modified xsi:type="dcterms:W3CDTF">2024-07-24T09:12:04Z</dcterms:modified>
</cp:coreProperties>
</file>