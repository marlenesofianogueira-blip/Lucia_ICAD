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ustScore" sheetId="1" r:id="rId4"/>
    <sheet state="visible" name="TrustScoreAnalysis" sheetId="2" r:id="rId5"/>
    <sheet state="visible" name="TrustRT" sheetId="3" r:id="rId6"/>
  </sheets>
  <definedNames/>
  <calcPr/>
  <extLst>
    <ext uri="GoogleSheetsCustomDataVersion2">
      <go:sheetsCustomData xmlns:go="http://customooxmlschemas.google.com/" r:id="rId7" roundtripDataChecksum="jj2sTmKUsVV1jT4kX7RkL4gs0jNsy92fcB4ToABNLlY="/>
    </ext>
  </extLst>
</workbook>
</file>

<file path=xl/sharedStrings.xml><?xml version="1.0" encoding="utf-8"?>
<sst xmlns="http://schemas.openxmlformats.org/spreadsheetml/2006/main" count="223" uniqueCount="102">
  <si>
    <t>Day</t>
  </si>
  <si>
    <t>Time</t>
  </si>
  <si>
    <t>FinalSore</t>
  </si>
  <si>
    <t>Comments</t>
  </si>
  <si>
    <t>Mean</t>
  </si>
  <si>
    <t>17h00</t>
  </si>
  <si>
    <t>AM01071945</t>
  </si>
  <si>
    <t>15h04</t>
  </si>
  <si>
    <t>AP17091950</t>
  </si>
  <si>
    <t>15h23</t>
  </si>
  <si>
    <t>AR10061960</t>
  </si>
  <si>
    <t>falta questionário</t>
  </si>
  <si>
    <t>16h47</t>
  </si>
  <si>
    <t>EM22071954</t>
  </si>
  <si>
    <t>MMSE</t>
  </si>
  <si>
    <t>16h27</t>
  </si>
  <si>
    <t>ES21111948</t>
  </si>
  <si>
    <t>11h45</t>
  </si>
  <si>
    <t>FR24011951</t>
  </si>
  <si>
    <t>OCDE</t>
  </si>
  <si>
    <t>16h01</t>
  </si>
  <si>
    <t>JM19101961</t>
  </si>
  <si>
    <t>15h06</t>
  </si>
  <si>
    <t>JS21021941</t>
  </si>
  <si>
    <t>Denota debilidades cognitivas e na compreensão numérica. Não entendeu o jogo. Dizia valores aleatórios, muitas vezes não enquadrados nos valores do jogo</t>
  </si>
  <si>
    <t>15h39</t>
  </si>
  <si>
    <t>JV11091949</t>
  </si>
  <si>
    <t>15h35</t>
  </si>
  <si>
    <t>MA30061957</t>
  </si>
  <si>
    <t>11h51</t>
  </si>
  <si>
    <t>MG06041942</t>
  </si>
  <si>
    <t>15h21</t>
  </si>
  <si>
    <t>ML13011950</t>
  </si>
  <si>
    <t>17h36</t>
  </si>
  <si>
    <t>ML15061931</t>
  </si>
  <si>
    <t>15h49</t>
  </si>
  <si>
    <t>MM18091956</t>
  </si>
  <si>
    <t>16h16</t>
  </si>
  <si>
    <t>MM28031953</t>
  </si>
  <si>
    <t>16h04</t>
  </si>
  <si>
    <t>MN10051949</t>
  </si>
  <si>
    <t>16h49</t>
  </si>
  <si>
    <t>MP12071959</t>
  </si>
  <si>
    <t>15h10</t>
  </si>
  <si>
    <t>MR05051963</t>
  </si>
  <si>
    <t>10h30</t>
  </si>
  <si>
    <t>MS02121941</t>
  </si>
  <si>
    <t>16h44</t>
  </si>
  <si>
    <t>MS26011951</t>
  </si>
  <si>
    <t>11h30</t>
  </si>
  <si>
    <t>OP18061957</t>
  </si>
  <si>
    <t>17h06</t>
  </si>
  <si>
    <t>SN02011956</t>
  </si>
  <si>
    <t>11h38</t>
  </si>
  <si>
    <t>BR27081937</t>
  </si>
  <si>
    <t>14h46</t>
  </si>
  <si>
    <t>MC02071942</t>
  </si>
  <si>
    <t>Não entendeu a tarefa. Má visão e audição. Dizia à sorte qualquer número entre os pedidos ..OCDE</t>
  </si>
  <si>
    <t>15h41</t>
  </si>
  <si>
    <t>MN21031947</t>
  </si>
  <si>
    <t xml:space="preserve"> </t>
  </si>
  <si>
    <t>16h10</t>
  </si>
  <si>
    <t>AC17101947</t>
  </si>
  <si>
    <t>15h26</t>
  </si>
  <si>
    <t>AO25031956</t>
  </si>
  <si>
    <t>15h34</t>
  </si>
  <si>
    <t>EP12081940</t>
  </si>
  <si>
    <t>MMSE e OCDE</t>
  </si>
  <si>
    <t>MF28091947</t>
  </si>
  <si>
    <t>MO06021937</t>
  </si>
  <si>
    <t>15h15</t>
  </si>
  <si>
    <t>OS11071966</t>
  </si>
  <si>
    <t>€</t>
  </si>
  <si>
    <t>F</t>
  </si>
  <si>
    <t>%</t>
  </si>
  <si>
    <t>ID</t>
  </si>
  <si>
    <t>TABELA DE FREQUÊNCIAS DAS ESCOLHAS NA TAREFA</t>
  </si>
  <si>
    <t xml:space="preserve">NOTAS </t>
  </si>
  <si>
    <t>COMPARAÇÃO ENTRE AS SUBPARTES DA TAREFA</t>
  </si>
  <si>
    <t>Para análise do Trust game e BART foram excluídos participantes com valores de MMSE considerados como "cognitive impairment", e de OCDE que demonstram sintomas depressivos</t>
  </si>
  <si>
    <t>Part1</t>
  </si>
  <si>
    <t>Part2</t>
  </si>
  <si>
    <t>Part3</t>
  </si>
  <si>
    <t>Test t</t>
  </si>
  <si>
    <t>NOTAS</t>
  </si>
  <si>
    <t>As partes coloridas a verde são quando o investimento dos participantes é retribuído e as partes coloridas a vermelho são as partes onde o investimento dos participantes não é retribuído</t>
  </si>
  <si>
    <t>Caso se opte por uma tarefa de escolhas binárias para fMRI, as opções selecionadas a verde são as 2 opções mais escolhidas. São também as escolhas normalmente utilizadas nesse tipo de tarefa</t>
  </si>
  <si>
    <t>todasas diferenças são significativas quando se retira a primeira escolha da part1 que é muito mais baixa que as restantes</t>
  </si>
  <si>
    <t>NOTA:</t>
  </si>
  <si>
    <t>Trial 0 - 4</t>
  </si>
  <si>
    <t>A resposta do trustee é sempre favorável (ou seja, o investimento tem sempre retorno e a confiança é recompensada)</t>
  </si>
  <si>
    <t xml:space="preserve">Trial 5-10 </t>
  </si>
  <si>
    <t xml:space="preserve">A resposta do trustee é 0 após o trial 4 desencadeando simulando uma rutura na confiança, e mantém-se uma resposta negativa até ao trial 10; ou seja o investimento não tem retorno e a confiança não é recompensada </t>
  </si>
  <si>
    <t>Trial 11 -14</t>
  </si>
  <si>
    <t>A resposta do trustee volta a ser favorável nesta parte do jogo em que a confiança volta a ser recompensada</t>
  </si>
  <si>
    <t>-&gt;</t>
  </si>
  <si>
    <t>O participante tem sempre acesso ao número do trial e é avisado quando chega o último trial</t>
  </si>
  <si>
    <t>Ordem</t>
  </si>
  <si>
    <t>Data</t>
  </si>
  <si>
    <t>Hora</t>
  </si>
  <si>
    <t>FR21011951</t>
  </si>
  <si>
    <t>MS02121940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</si>
</sst>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.d"/>
    <numFmt numFmtId="165" formatCode="dd/mm/yyyy"/>
    <numFmt numFmtId="166" formatCode="0.0"/>
    <numFmt numFmtId="167" formatCode="0.0000"/>
  </numFmts>
  <fonts count="12">
    <font>
      <sz val="11.0"/>
      <color theme="1"/>
      <name val="Aptos Narrow"/>
      <scheme val="minor"/>
    </font>
    <font>
      <b/>
      <sz val="11.0"/>
      <color theme="1"/>
      <name val="Aptos Narrow"/>
    </font>
    <font>
      <b/>
      <sz val="11.0"/>
      <color theme="1"/>
      <name val="Arial"/>
    </font>
    <font>
      <sz val="11.0"/>
      <color theme="1"/>
      <name val="Aptos Narrow"/>
    </font>
    <font>
      <color theme="1"/>
      <name val="Aptos Narrow"/>
      <scheme val="minor"/>
    </font>
    <font>
      <color theme="1"/>
      <name val="Arial"/>
    </font>
    <font>
      <sz val="11.0"/>
      <color theme="1"/>
      <name val="Arial"/>
    </font>
    <font>
      <sz val="11.0"/>
      <color rgb="FF000000"/>
      <name val="&quot;Aptos Narrow&quot;"/>
    </font>
    <font>
      <b/>
      <color theme="1"/>
      <name val="Arial"/>
    </font>
    <font>
      <b/>
      <i/>
      <color theme="1"/>
      <name val="Arial"/>
    </font>
    <font>
      <b/>
      <sz val="13.0"/>
      <color theme="1"/>
      <name val="Arial"/>
    </font>
    <font/>
  </fonts>
  <fills count="7">
    <fill>
      <patternFill patternType="none"/>
    </fill>
    <fill>
      <patternFill patternType="lightGray"/>
    </fill>
    <fill>
      <patternFill patternType="solid">
        <fgColor rgb="FFD9F2D0"/>
        <bgColor rgb="FFD9F2D0"/>
      </patternFill>
    </fill>
    <fill>
      <patternFill patternType="solid">
        <fgColor rgb="FFF1A983"/>
        <bgColor rgb="FFF1A983"/>
      </patternFill>
    </fill>
    <fill>
      <patternFill patternType="solid">
        <fgColor rgb="FFFAE2D5"/>
        <bgColor rgb="FFFAE2D5"/>
      </patternFill>
    </fill>
    <fill>
      <patternFill patternType="solid">
        <fgColor rgb="FFF4CCCC"/>
        <bgColor rgb="FFF4CCCC"/>
      </patternFill>
    </fill>
    <fill>
      <patternFill patternType="solid">
        <fgColor rgb="FF9FC5E8"/>
        <bgColor rgb="FF9FC5E8"/>
      </patternFill>
    </fill>
  </fills>
  <borders count="19">
    <border/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right style="thin">
        <color rgb="FF000000"/>
      </right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medium">
        <color rgb="FF000000"/>
      </top>
    </border>
    <border>
      <left/>
      <right/>
      <top style="medium">
        <color rgb="FF000000"/>
      </top>
    </border>
    <border>
      <left/>
      <right style="thin">
        <color rgb="FF000000"/>
      </right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2" numFmtId="0" xfId="0" applyAlignment="1" applyBorder="1" applyFont="1">
      <alignment readingOrder="0"/>
    </xf>
    <xf borderId="3" fillId="2" fontId="1" numFmtId="0" xfId="0" applyBorder="1" applyFill="1" applyFont="1"/>
    <xf borderId="3" fillId="3" fontId="1" numFmtId="0" xfId="0" applyBorder="1" applyFill="1" applyFont="1"/>
    <xf borderId="3" fillId="4" fontId="1" numFmtId="0" xfId="0" applyBorder="1" applyFill="1" applyFont="1"/>
    <xf borderId="1" fillId="0" fontId="2" numFmtId="0" xfId="0" applyAlignment="1" applyBorder="1" applyFont="1">
      <alignment readingOrder="0"/>
    </xf>
    <xf borderId="0" fillId="0" fontId="3" numFmtId="14" xfId="0" applyFont="1" applyNumberFormat="1"/>
    <xf borderId="0" fillId="0" fontId="4" numFmtId="0" xfId="0" applyFont="1"/>
    <xf borderId="4" fillId="0" fontId="3" numFmtId="0" xfId="0" applyBorder="1" applyFont="1"/>
    <xf borderId="0" fillId="0" fontId="4" numFmtId="2" xfId="0" applyFont="1" applyNumberFormat="1"/>
    <xf borderId="0" fillId="0" fontId="5" numFmtId="2" xfId="0" applyAlignment="1" applyFont="1" applyNumberFormat="1">
      <alignment readingOrder="0"/>
    </xf>
    <xf borderId="0" fillId="5" fontId="3" numFmtId="14" xfId="0" applyFill="1" applyFont="1" applyNumberFormat="1"/>
    <xf borderId="0" fillId="5" fontId="4" numFmtId="0" xfId="0" applyFont="1"/>
    <xf borderId="4" fillId="5" fontId="3" numFmtId="0" xfId="0" applyBorder="1" applyFont="1"/>
    <xf borderId="0" fillId="5" fontId="5" numFmtId="0" xfId="0" applyAlignment="1" applyFont="1">
      <alignment readingOrder="0"/>
    </xf>
    <xf borderId="0" fillId="5" fontId="4" numFmtId="2" xfId="0" applyFont="1" applyNumberFormat="1"/>
    <xf borderId="0" fillId="5" fontId="5" numFmtId="2" xfId="0" applyAlignment="1" applyFont="1" applyNumberFormat="1">
      <alignment readingOrder="0"/>
    </xf>
    <xf borderId="0" fillId="5" fontId="5" numFmtId="1" xfId="0" applyAlignment="1" applyFont="1" applyNumberFormat="1">
      <alignment readingOrder="0"/>
    </xf>
    <xf borderId="4" fillId="5" fontId="6" numFmtId="0" xfId="0" applyAlignment="1" applyBorder="1" applyFont="1">
      <alignment readingOrder="0"/>
    </xf>
    <xf borderId="0" fillId="0" fontId="5" numFmtId="1" xfId="0" applyAlignment="1" applyFont="1" applyNumberFormat="1">
      <alignment readingOrder="0"/>
    </xf>
    <xf borderId="0" fillId="5" fontId="4" numFmtId="1" xfId="0" applyFont="1" applyNumberFormat="1"/>
    <xf borderId="0" fillId="5" fontId="5" numFmtId="164" xfId="0" applyAlignment="1" applyFont="1" applyNumberFormat="1">
      <alignment readingOrder="0"/>
    </xf>
    <xf borderId="0" fillId="0" fontId="4" numFmtId="1" xfId="0" applyFont="1" applyNumberFormat="1"/>
    <xf borderId="0" fillId="0" fontId="5" numFmtId="164" xfId="0" applyAlignment="1" applyFont="1" applyNumberFormat="1">
      <alignment readingOrder="0"/>
    </xf>
    <xf borderId="5" fillId="0" fontId="3" numFmtId="0" xfId="0" applyBorder="1" applyFont="1"/>
    <xf borderId="4" fillId="0" fontId="6" numFmtId="0" xfId="0" applyAlignment="1" applyBorder="1" applyFont="1">
      <alignment readingOrder="0"/>
    </xf>
    <xf borderId="0" fillId="0" fontId="7" numFmtId="165" xfId="0" applyAlignment="1" applyFont="1" applyNumberFormat="1">
      <alignment horizontal="right"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4" fillId="0" fontId="7" numFmtId="0" xfId="0" applyAlignment="1" applyBorder="1" applyFont="1">
      <alignment readingOrder="0" shrinkToFit="0" vertical="bottom" wrapText="0"/>
    </xf>
    <xf borderId="0" fillId="0" fontId="7" numFmtId="0" xfId="0" applyAlignment="1" applyFont="1">
      <alignment horizontal="right" readingOrder="0" shrinkToFit="0" vertical="bottom" wrapText="0"/>
    </xf>
    <xf borderId="0" fillId="5" fontId="7" numFmtId="165" xfId="0" applyAlignment="1" applyFont="1" applyNumberFormat="1">
      <alignment horizontal="right" readingOrder="0" shrinkToFit="0" vertical="bottom" wrapText="0"/>
    </xf>
    <xf borderId="0" fillId="5" fontId="7" numFmtId="0" xfId="0" applyAlignment="1" applyFont="1">
      <alignment readingOrder="0" shrinkToFit="0" vertical="bottom" wrapText="0"/>
    </xf>
    <xf borderId="0" fillId="5" fontId="7" numFmtId="0" xfId="0" applyAlignment="1" applyFont="1">
      <alignment horizontal="right" readingOrder="0" shrinkToFit="0" vertical="bottom" wrapText="0"/>
    </xf>
    <xf borderId="0" fillId="0" fontId="4" numFmtId="166" xfId="0" applyFont="1" applyNumberFormat="1"/>
    <xf borderId="6" fillId="0" fontId="8" numFmtId="0" xfId="0" applyAlignment="1" applyBorder="1" applyFont="1">
      <alignment horizontal="center" readingOrder="0"/>
    </xf>
    <xf borderId="6" fillId="0" fontId="9" numFmtId="0" xfId="0" applyAlignment="1" applyBorder="1" applyFont="1">
      <alignment horizontal="center" readingOrder="0"/>
    </xf>
    <xf borderId="6" fillId="0" fontId="4" numFmtId="0" xfId="0" applyAlignment="1" applyBorder="1" applyFont="1">
      <alignment horizontal="center"/>
    </xf>
    <xf borderId="6" fillId="0" fontId="4" numFmtId="2" xfId="0" applyAlignment="1" applyBorder="1" applyFont="1" applyNumberFormat="1">
      <alignment horizontal="center"/>
    </xf>
    <xf borderId="0" fillId="0" fontId="5" numFmtId="0" xfId="0" applyAlignment="1" applyFont="1">
      <alignment readingOrder="0"/>
    </xf>
    <xf borderId="2" fillId="0" fontId="1" numFmtId="0" xfId="0" applyBorder="1" applyFont="1"/>
    <xf borderId="0" fillId="6" fontId="10" numFmtId="0" xfId="0" applyAlignment="1" applyFill="1" applyFont="1">
      <alignment horizontal="center" readingOrder="0" vertical="center"/>
    </xf>
    <xf borderId="7" fillId="0" fontId="8" numFmtId="0" xfId="0" applyAlignment="1" applyBorder="1" applyFont="1">
      <alignment readingOrder="0" shrinkToFit="0" wrapText="1"/>
    </xf>
    <xf borderId="5" fillId="0" fontId="11" numFmtId="0" xfId="0" applyBorder="1" applyFont="1"/>
    <xf borderId="8" fillId="0" fontId="11" numFmtId="0" xfId="0" applyBorder="1" applyFont="1"/>
    <xf borderId="9" fillId="0" fontId="11" numFmtId="0" xfId="0" applyBorder="1" applyFont="1"/>
    <xf borderId="4" fillId="0" fontId="11" numFmtId="0" xfId="0" applyBorder="1" applyFont="1"/>
    <xf borderId="10" fillId="0" fontId="11" numFmtId="0" xfId="0" applyBorder="1" applyFont="1"/>
    <xf borderId="11" fillId="0" fontId="11" numFmtId="0" xfId="0" applyBorder="1" applyFont="1"/>
    <xf borderId="12" fillId="0" fontId="11" numFmtId="0" xfId="0" applyBorder="1" applyFont="1"/>
    <xf borderId="0" fillId="0" fontId="5" numFmtId="0" xfId="0" applyAlignment="1" applyFont="1">
      <alignment readingOrder="0" shrinkToFit="0" wrapText="1"/>
    </xf>
    <xf borderId="4" fillId="0" fontId="5" numFmtId="0" xfId="0" applyAlignment="1" applyBorder="1" applyFont="1">
      <alignment readingOrder="0" shrinkToFit="0" wrapText="1"/>
    </xf>
    <xf borderId="13" fillId="2" fontId="1" numFmtId="0" xfId="0" applyBorder="1" applyFont="1"/>
    <xf borderId="14" fillId="4" fontId="1" numFmtId="0" xfId="0" applyBorder="1" applyFont="1"/>
    <xf borderId="15" fillId="2" fontId="1" numFmtId="0" xfId="0" applyBorder="1" applyFont="1"/>
    <xf borderId="7" fillId="0" fontId="4" numFmtId="166" xfId="0" applyBorder="1" applyFont="1" applyNumberFormat="1"/>
    <xf borderId="5" fillId="0" fontId="4" numFmtId="166" xfId="0" applyBorder="1" applyFont="1" applyNumberFormat="1"/>
    <xf borderId="8" fillId="0" fontId="4" numFmtId="166" xfId="0" applyBorder="1" applyFont="1" applyNumberFormat="1"/>
    <xf borderId="9" fillId="0" fontId="4" numFmtId="166" xfId="0" applyBorder="1" applyFont="1" applyNumberFormat="1"/>
    <xf borderId="4" fillId="0" fontId="4" numFmtId="166" xfId="0" applyBorder="1" applyFont="1" applyNumberFormat="1"/>
    <xf borderId="10" fillId="0" fontId="4" numFmtId="166" xfId="0" applyBorder="1" applyFont="1" applyNumberFormat="1"/>
    <xf borderId="11" fillId="0" fontId="4" numFmtId="166" xfId="0" applyBorder="1" applyFont="1" applyNumberFormat="1"/>
    <xf borderId="12" fillId="0" fontId="4" numFmtId="166" xfId="0" applyBorder="1" applyFont="1" applyNumberFormat="1"/>
    <xf borderId="16" fillId="0" fontId="5" numFmtId="0" xfId="0" applyAlignment="1" applyBorder="1" applyFont="1">
      <alignment readingOrder="0"/>
    </xf>
    <xf borderId="16" fillId="0" fontId="4" numFmtId="167" xfId="0" applyBorder="1" applyFont="1" applyNumberFormat="1"/>
    <xf borderId="17" fillId="0" fontId="4" numFmtId="167" xfId="0" applyBorder="1" applyFont="1" applyNumberFormat="1"/>
    <xf borderId="18" fillId="0" fontId="4" numFmtId="167" xfId="0" applyBorder="1" applyFont="1" applyNumberFormat="1"/>
    <xf borderId="7" fillId="0" fontId="5" numFmtId="0" xfId="0" applyAlignment="1" applyBorder="1" applyFont="1">
      <alignment readingOrder="0"/>
    </xf>
    <xf borderId="7" fillId="0" fontId="5" numFmtId="0" xfId="0" applyAlignment="1" applyBorder="1" applyFont="1">
      <alignment readingOrder="0" shrinkToFit="0" wrapText="1"/>
    </xf>
    <xf borderId="9" fillId="0" fontId="4" numFmtId="0" xfId="0" applyBorder="1" applyFont="1"/>
    <xf borderId="0" fillId="0" fontId="5" numFmtId="0" xfId="0" applyAlignment="1" applyFont="1">
      <alignment readingOrder="0" shrinkToFit="0" wrapText="0"/>
    </xf>
    <xf borderId="10" fillId="0" fontId="4" numFmtId="0" xfId="0" applyBorder="1" applyFont="1"/>
    <xf borderId="0" fillId="0" fontId="8" numFmtId="0" xfId="0" applyAlignment="1" applyFont="1">
      <alignment readingOrder="0"/>
    </xf>
    <xf borderId="0" fillId="0" fontId="3" numFmtId="167" xfId="0" applyFont="1" applyNumberFormat="1"/>
    <xf borderId="0" fillId="0" fontId="4" numFmtId="167" xfId="0" applyFont="1" applyNumberFormat="1"/>
    <xf borderId="5" fillId="0" fontId="3" numFmtId="167" xfId="0" applyBorder="1" applyFont="1" applyNumberForma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"/>
              </a:defRPr>
            </a:pPr>
            <a:r>
              <a:rPr b="0">
                <a:solidFill>
                  <a:srgbClr val="757575"/>
                </a:solidFill>
                <a:latin typeface="Arial"/>
              </a:rPr>
              <a:t>Trust Game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156082"/>
              </a:solidFill>
            </a:ln>
          </c:spPr>
          <c:marker>
            <c:symbol val="none"/>
          </c:marker>
          <c:cat>
            <c:strRef>
              <c:f>TrustScoreAnalysis!$A$51:$A$65</c:f>
            </c:strRef>
          </c:cat>
          <c:val>
            <c:numRef>
              <c:f>TrustScoreAnalysis!$B$51:$B$65</c:f>
              <c:numCache/>
            </c:numRef>
          </c:val>
          <c:smooth val="0"/>
        </c:ser>
        <c:axId val="1256766891"/>
        <c:axId val="570693466"/>
      </c:lineChart>
      <c:catAx>
        <c:axId val="12567668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>Trial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0693466"/>
      </c:catAx>
      <c:valAx>
        <c:axId val="5706934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Trust Choice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67668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628650</xdr:colOff>
      <xdr:row>51</xdr:row>
      <xdr:rowOff>133350</xdr:rowOff>
    </xdr:from>
    <xdr:ext cx="5715000" cy="3533775"/>
    <xdr:graphicFrame>
      <xdr:nvGraphicFramePr>
        <xdr:cNvPr id="237391677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1" width="9.88"/>
    <col customWidth="1" min="2" max="2" width="8.63"/>
    <col customWidth="1" min="3" max="3" width="12.25"/>
    <col customWidth="1" min="4" max="25" width="8.63"/>
  </cols>
  <sheetData>
    <row r="1" ht="14.25" customHeight="1">
      <c r="A1" s="1" t="s">
        <v>0</v>
      </c>
      <c r="B1" s="1" t="s">
        <v>1</v>
      </c>
      <c r="C1" s="2">
        <v>175.0</v>
      </c>
      <c r="D1" s="3">
        <v>1.0</v>
      </c>
      <c r="E1" s="3">
        <v>2.0</v>
      </c>
      <c r="F1" s="3">
        <v>3.0</v>
      </c>
      <c r="G1" s="3">
        <v>4.0</v>
      </c>
      <c r="H1" s="4">
        <v>5.0</v>
      </c>
      <c r="I1" s="5">
        <v>6.0</v>
      </c>
      <c r="J1" s="5">
        <v>7.0</v>
      </c>
      <c r="K1" s="5">
        <v>8.0</v>
      </c>
      <c r="L1" s="5">
        <v>9.0</v>
      </c>
      <c r="M1" s="5">
        <v>10.0</v>
      </c>
      <c r="N1" s="3">
        <v>11.0</v>
      </c>
      <c r="O1" s="3">
        <v>12.0</v>
      </c>
      <c r="P1" s="3">
        <v>13.0</v>
      </c>
      <c r="Q1" s="3">
        <v>14.0</v>
      </c>
      <c r="R1" s="3">
        <v>15.0</v>
      </c>
      <c r="S1" s="1" t="s">
        <v>2</v>
      </c>
      <c r="T1" s="1" t="s">
        <v>3</v>
      </c>
      <c r="U1" s="6" t="s">
        <v>4</v>
      </c>
      <c r="V1" s="1"/>
      <c r="W1" s="1"/>
      <c r="X1" s="1"/>
      <c r="Y1" s="1"/>
    </row>
    <row r="2" ht="14.25" customHeight="1">
      <c r="A2" s="7">
        <v>45484.0</v>
      </c>
      <c r="B2" s="8" t="s">
        <v>5</v>
      </c>
      <c r="C2" s="9" t="s">
        <v>6</v>
      </c>
      <c r="D2" s="8">
        <v>1.0</v>
      </c>
      <c r="E2" s="8">
        <v>2.0</v>
      </c>
      <c r="F2" s="8">
        <v>2.0</v>
      </c>
      <c r="G2" s="8">
        <v>3.0</v>
      </c>
      <c r="H2" s="8">
        <v>5.0</v>
      </c>
      <c r="I2" s="8">
        <v>5.0</v>
      </c>
      <c r="J2" s="8">
        <v>5.0</v>
      </c>
      <c r="K2" s="8">
        <v>3.0</v>
      </c>
      <c r="L2" s="8">
        <v>4.0</v>
      </c>
      <c r="M2" s="8">
        <v>4.0</v>
      </c>
      <c r="N2" s="8">
        <v>3.0</v>
      </c>
      <c r="O2" s="8">
        <v>4.0</v>
      </c>
      <c r="P2" s="8">
        <v>5.0</v>
      </c>
      <c r="Q2" s="8">
        <v>5.0</v>
      </c>
      <c r="R2" s="8">
        <v>5.0</v>
      </c>
      <c r="S2" s="8">
        <v>167.0</v>
      </c>
      <c r="U2" s="10">
        <f t="shared" ref="U2:U32" si="1">AVERAGE(D2:R2)</f>
        <v>3.733333333</v>
      </c>
      <c r="V2" s="11"/>
    </row>
    <row r="3" ht="14.25" customHeight="1">
      <c r="A3" s="7">
        <v>45490.0</v>
      </c>
      <c r="B3" s="8" t="s">
        <v>7</v>
      </c>
      <c r="C3" s="9" t="s">
        <v>8</v>
      </c>
      <c r="D3" s="8">
        <v>1.0</v>
      </c>
      <c r="E3" s="8">
        <v>1.0</v>
      </c>
      <c r="F3" s="8">
        <v>2.0</v>
      </c>
      <c r="G3" s="8">
        <v>5.0</v>
      </c>
      <c r="H3" s="8">
        <v>5.0</v>
      </c>
      <c r="I3" s="8">
        <v>2.0</v>
      </c>
      <c r="J3" s="8">
        <v>0.0</v>
      </c>
      <c r="K3" s="8">
        <v>0.0</v>
      </c>
      <c r="L3" s="8">
        <v>3.0</v>
      </c>
      <c r="M3" s="8">
        <v>0.0</v>
      </c>
      <c r="N3" s="8">
        <v>0.0</v>
      </c>
      <c r="O3" s="8">
        <v>5.0</v>
      </c>
      <c r="P3" s="8">
        <v>5.0</v>
      </c>
      <c r="Q3" s="8">
        <v>10.0</v>
      </c>
      <c r="R3" s="8">
        <v>10.0</v>
      </c>
      <c r="S3" s="8">
        <v>168.0</v>
      </c>
      <c r="U3" s="10">
        <f t="shared" si="1"/>
        <v>3.266666667</v>
      </c>
      <c r="V3" s="11"/>
    </row>
    <row r="4" ht="14.25" customHeight="1">
      <c r="A4" s="12">
        <v>45477.0</v>
      </c>
      <c r="B4" s="13" t="s">
        <v>9</v>
      </c>
      <c r="C4" s="14" t="s">
        <v>10</v>
      </c>
      <c r="D4" s="13">
        <v>5.0</v>
      </c>
      <c r="E4" s="13">
        <v>5.0</v>
      </c>
      <c r="F4" s="13">
        <v>5.0</v>
      </c>
      <c r="G4" s="13">
        <v>5.0</v>
      </c>
      <c r="H4" s="13">
        <v>10.0</v>
      </c>
      <c r="I4" s="13">
        <v>5.0</v>
      </c>
      <c r="J4" s="13">
        <v>5.0</v>
      </c>
      <c r="K4" s="13">
        <v>3.0</v>
      </c>
      <c r="L4" s="13">
        <v>2.0</v>
      </c>
      <c r="M4" s="13">
        <v>5.0</v>
      </c>
      <c r="N4" s="13">
        <v>2.0</v>
      </c>
      <c r="O4" s="13">
        <v>2.0</v>
      </c>
      <c r="P4" s="13">
        <v>3.0</v>
      </c>
      <c r="Q4" s="13">
        <v>3.0</v>
      </c>
      <c r="R4" s="13">
        <v>5.0</v>
      </c>
      <c r="S4" s="13">
        <v>182.0</v>
      </c>
      <c r="T4" s="15" t="s">
        <v>11</v>
      </c>
      <c r="U4" s="16">
        <f t="shared" si="1"/>
        <v>4.333333333</v>
      </c>
      <c r="V4" s="17"/>
      <c r="W4" s="13"/>
      <c r="X4" s="13"/>
      <c r="Y4" s="13"/>
    </row>
    <row r="5" ht="14.25" customHeight="1">
      <c r="A5" s="12">
        <v>45482.0</v>
      </c>
      <c r="B5" s="13" t="s">
        <v>12</v>
      </c>
      <c r="C5" s="14" t="s">
        <v>13</v>
      </c>
      <c r="D5" s="13">
        <v>5.0</v>
      </c>
      <c r="E5" s="13">
        <v>8.0</v>
      </c>
      <c r="F5" s="13">
        <v>6.0</v>
      </c>
      <c r="G5" s="13">
        <v>3.0</v>
      </c>
      <c r="H5" s="13">
        <v>9.0</v>
      </c>
      <c r="I5" s="13">
        <v>5.0</v>
      </c>
      <c r="J5" s="13">
        <v>3.0</v>
      </c>
      <c r="K5" s="13">
        <v>7.0</v>
      </c>
      <c r="L5" s="13">
        <v>4.0</v>
      </c>
      <c r="M5" s="13">
        <v>2.0</v>
      </c>
      <c r="N5" s="13">
        <v>9.0</v>
      </c>
      <c r="O5" s="13">
        <v>7.0</v>
      </c>
      <c r="P5" s="13">
        <v>6.0</v>
      </c>
      <c r="Q5" s="13">
        <v>8.0</v>
      </c>
      <c r="R5" s="13">
        <v>8.0</v>
      </c>
      <c r="S5" s="13">
        <v>175.0</v>
      </c>
      <c r="T5" s="15" t="s">
        <v>14</v>
      </c>
      <c r="U5" s="16">
        <f t="shared" si="1"/>
        <v>6</v>
      </c>
      <c r="V5" s="18"/>
      <c r="W5" s="13"/>
      <c r="X5" s="13"/>
      <c r="Y5" s="13"/>
    </row>
    <row r="6" ht="14.25" customHeight="1">
      <c r="A6" s="7">
        <v>45477.0</v>
      </c>
      <c r="B6" s="8" t="s">
        <v>15</v>
      </c>
      <c r="C6" s="9" t="s">
        <v>16</v>
      </c>
      <c r="D6" s="8">
        <v>5.0</v>
      </c>
      <c r="E6" s="8">
        <v>5.0</v>
      </c>
      <c r="F6" s="8">
        <v>5.0</v>
      </c>
      <c r="G6" s="8">
        <v>5.0</v>
      </c>
      <c r="H6" s="8">
        <v>5.0</v>
      </c>
      <c r="I6" s="8">
        <v>5.0</v>
      </c>
      <c r="J6" s="8">
        <v>5.0</v>
      </c>
      <c r="K6" s="8">
        <v>5.0</v>
      </c>
      <c r="L6" s="8">
        <v>0.0</v>
      </c>
      <c r="M6" s="8">
        <v>5.0</v>
      </c>
      <c r="N6" s="8">
        <v>5.0</v>
      </c>
      <c r="O6" s="8">
        <v>5.0</v>
      </c>
      <c r="P6" s="8">
        <v>5.0</v>
      </c>
      <c r="Q6" s="8">
        <v>0.0</v>
      </c>
      <c r="R6" s="8">
        <v>10.0</v>
      </c>
      <c r="S6" s="8">
        <v>175.0</v>
      </c>
      <c r="U6" s="10">
        <f t="shared" si="1"/>
        <v>4.666666667</v>
      </c>
      <c r="V6" s="11"/>
    </row>
    <row r="7" ht="14.25" customHeight="1">
      <c r="A7" s="12">
        <v>45484.0</v>
      </c>
      <c r="B7" s="13" t="s">
        <v>17</v>
      </c>
      <c r="C7" s="19" t="s">
        <v>18</v>
      </c>
      <c r="D7" s="13">
        <v>8.0</v>
      </c>
      <c r="E7" s="13">
        <v>5.0</v>
      </c>
      <c r="F7" s="13">
        <v>7.0</v>
      </c>
      <c r="G7" s="13">
        <v>4.0</v>
      </c>
      <c r="H7" s="13">
        <v>3.0</v>
      </c>
      <c r="I7" s="13">
        <v>6.0</v>
      </c>
      <c r="J7" s="13">
        <v>9.0</v>
      </c>
      <c r="K7" s="13">
        <v>5.0</v>
      </c>
      <c r="L7" s="13">
        <v>3.0</v>
      </c>
      <c r="M7" s="13">
        <v>6.0</v>
      </c>
      <c r="N7" s="13">
        <v>7.0</v>
      </c>
      <c r="O7" s="13">
        <v>6.0</v>
      </c>
      <c r="P7" s="13">
        <v>8.0</v>
      </c>
      <c r="Q7" s="13">
        <v>1.0</v>
      </c>
      <c r="R7" s="13">
        <v>4.0</v>
      </c>
      <c r="S7" s="13">
        <v>192.0</v>
      </c>
      <c r="T7" s="15" t="s">
        <v>19</v>
      </c>
      <c r="U7" s="16">
        <f t="shared" si="1"/>
        <v>5.466666667</v>
      </c>
      <c r="V7" s="17"/>
      <c r="W7" s="13"/>
      <c r="X7" s="13"/>
      <c r="Y7" s="13"/>
    </row>
    <row r="8" ht="14.25" customHeight="1">
      <c r="A8" s="7">
        <v>45477.0</v>
      </c>
      <c r="B8" s="8" t="s">
        <v>20</v>
      </c>
      <c r="C8" s="9" t="s">
        <v>21</v>
      </c>
      <c r="D8" s="8">
        <v>5.0</v>
      </c>
      <c r="E8" s="8">
        <v>10.0</v>
      </c>
      <c r="F8" s="8">
        <v>5.0</v>
      </c>
      <c r="G8" s="8">
        <v>3.0</v>
      </c>
      <c r="H8" s="8">
        <v>5.0</v>
      </c>
      <c r="I8" s="8">
        <v>3.0</v>
      </c>
      <c r="J8" s="8">
        <v>5.0</v>
      </c>
      <c r="K8" s="8">
        <v>1.0</v>
      </c>
      <c r="L8" s="8">
        <v>4.0</v>
      </c>
      <c r="M8" s="8">
        <v>5.0</v>
      </c>
      <c r="N8" s="8">
        <v>5.0</v>
      </c>
      <c r="O8" s="8">
        <v>5.0</v>
      </c>
      <c r="P8" s="8">
        <v>4.0</v>
      </c>
      <c r="Q8" s="8">
        <v>5.0</v>
      </c>
      <c r="R8" s="8">
        <v>10.0</v>
      </c>
      <c r="S8" s="8">
        <v>192.0</v>
      </c>
      <c r="U8" s="10">
        <f t="shared" si="1"/>
        <v>5</v>
      </c>
      <c r="V8" s="20"/>
    </row>
    <row r="9" ht="14.25" customHeight="1">
      <c r="A9" s="12">
        <v>45475.0</v>
      </c>
      <c r="B9" s="13" t="s">
        <v>22</v>
      </c>
      <c r="C9" s="14" t="s">
        <v>23</v>
      </c>
      <c r="D9" s="13">
        <v>5.0</v>
      </c>
      <c r="E9" s="13">
        <v>10.0</v>
      </c>
      <c r="F9" s="13">
        <v>5.0</v>
      </c>
      <c r="G9" s="13">
        <v>1.0</v>
      </c>
      <c r="H9" s="13">
        <v>10.0</v>
      </c>
      <c r="I9" s="13">
        <v>2.0</v>
      </c>
      <c r="J9" s="13">
        <v>4.0</v>
      </c>
      <c r="K9" s="13">
        <v>4.0</v>
      </c>
      <c r="L9" s="13">
        <v>5.0</v>
      </c>
      <c r="M9" s="13">
        <v>5.0</v>
      </c>
      <c r="N9" s="13">
        <v>4.0</v>
      </c>
      <c r="O9" s="13">
        <v>6.0</v>
      </c>
      <c r="P9" s="13">
        <v>5.0</v>
      </c>
      <c r="Q9" s="13">
        <v>4.0</v>
      </c>
      <c r="R9" s="13">
        <v>5.0</v>
      </c>
      <c r="S9" s="13">
        <v>152.0</v>
      </c>
      <c r="T9" s="13" t="s">
        <v>24</v>
      </c>
      <c r="U9" s="16">
        <f t="shared" si="1"/>
        <v>5</v>
      </c>
      <c r="V9" s="21"/>
      <c r="W9" s="13"/>
      <c r="X9" s="13"/>
      <c r="Y9" s="13"/>
    </row>
    <row r="10" ht="14.25" customHeight="1">
      <c r="A10" s="12">
        <v>45490.0</v>
      </c>
      <c r="B10" s="13" t="s">
        <v>25</v>
      </c>
      <c r="C10" s="14" t="s">
        <v>26</v>
      </c>
      <c r="D10" s="13">
        <v>5.0</v>
      </c>
      <c r="E10" s="13">
        <v>5.0</v>
      </c>
      <c r="F10" s="13">
        <v>5.0</v>
      </c>
      <c r="G10" s="13">
        <v>2.0</v>
      </c>
      <c r="H10" s="13">
        <v>5.0</v>
      </c>
      <c r="I10" s="13">
        <v>5.0</v>
      </c>
      <c r="J10" s="13">
        <v>2.0</v>
      </c>
      <c r="K10" s="13">
        <v>2.0</v>
      </c>
      <c r="L10" s="13">
        <v>2.0</v>
      </c>
      <c r="M10" s="13">
        <v>2.0</v>
      </c>
      <c r="N10" s="13">
        <v>2.0</v>
      </c>
      <c r="O10" s="13">
        <v>2.0</v>
      </c>
      <c r="P10" s="13">
        <v>2.0</v>
      </c>
      <c r="Q10" s="13">
        <v>5.0</v>
      </c>
      <c r="R10" s="13">
        <v>2.0</v>
      </c>
      <c r="S10" s="13">
        <v>171.0</v>
      </c>
      <c r="T10" s="15" t="s">
        <v>11</v>
      </c>
      <c r="U10" s="16">
        <f t="shared" si="1"/>
        <v>3.2</v>
      </c>
      <c r="V10" s="22"/>
      <c r="W10" s="13"/>
      <c r="X10" s="13"/>
      <c r="Y10" s="13"/>
    </row>
    <row r="11" ht="14.25" customHeight="1">
      <c r="A11" s="12">
        <v>45482.0</v>
      </c>
      <c r="B11" s="13" t="s">
        <v>27</v>
      </c>
      <c r="C11" s="14" t="s">
        <v>28</v>
      </c>
      <c r="D11" s="13">
        <v>0.0</v>
      </c>
      <c r="E11" s="13">
        <v>1.0</v>
      </c>
      <c r="F11" s="13">
        <v>2.0</v>
      </c>
      <c r="G11" s="13">
        <v>3.0</v>
      </c>
      <c r="H11" s="13">
        <v>3.0</v>
      </c>
      <c r="I11" s="13">
        <v>4.0</v>
      </c>
      <c r="J11" s="13">
        <v>2.0</v>
      </c>
      <c r="K11" s="13">
        <v>2.0</v>
      </c>
      <c r="L11" s="13">
        <v>2.0</v>
      </c>
      <c r="M11" s="13">
        <v>2.0</v>
      </c>
      <c r="N11" s="13">
        <v>2.0</v>
      </c>
      <c r="O11" s="13">
        <v>3.0</v>
      </c>
      <c r="P11" s="13">
        <v>2.0</v>
      </c>
      <c r="Q11" s="13">
        <v>1.0</v>
      </c>
      <c r="R11" s="13">
        <v>2.0</v>
      </c>
      <c r="S11" s="13">
        <v>157.0</v>
      </c>
      <c r="T11" s="15" t="s">
        <v>14</v>
      </c>
      <c r="U11" s="16">
        <f t="shared" si="1"/>
        <v>2.066666667</v>
      </c>
      <c r="V11" s="17"/>
      <c r="W11" s="13"/>
      <c r="X11" s="13"/>
      <c r="Y11" s="13"/>
    </row>
    <row r="12" ht="14.25" customHeight="1">
      <c r="A12" s="7">
        <v>45482.0</v>
      </c>
      <c r="B12" s="8" t="s">
        <v>29</v>
      </c>
      <c r="C12" s="9" t="s">
        <v>30</v>
      </c>
      <c r="D12" s="8">
        <v>0.0</v>
      </c>
      <c r="E12" s="8">
        <v>5.0</v>
      </c>
      <c r="F12" s="8">
        <v>10.0</v>
      </c>
      <c r="G12" s="8">
        <v>5.0</v>
      </c>
      <c r="H12" s="8">
        <v>10.0</v>
      </c>
      <c r="I12" s="8">
        <v>10.0</v>
      </c>
      <c r="J12" s="8">
        <v>5.0</v>
      </c>
      <c r="K12" s="8">
        <v>5.0</v>
      </c>
      <c r="L12" s="8">
        <v>5.0</v>
      </c>
      <c r="M12" s="8">
        <v>10.0</v>
      </c>
      <c r="N12" s="8">
        <v>5.0</v>
      </c>
      <c r="O12" s="8">
        <v>10.0</v>
      </c>
      <c r="P12" s="8">
        <v>0.0</v>
      </c>
      <c r="Q12" s="8">
        <v>5.0</v>
      </c>
      <c r="R12" s="8">
        <v>5.0</v>
      </c>
      <c r="S12" s="8">
        <v>181.0</v>
      </c>
      <c r="U12" s="10">
        <f t="shared" si="1"/>
        <v>6</v>
      </c>
      <c r="V12" s="23"/>
    </row>
    <row r="13" ht="14.25" customHeight="1">
      <c r="A13" s="12">
        <v>45490.0</v>
      </c>
      <c r="B13" s="13" t="s">
        <v>31</v>
      </c>
      <c r="C13" s="14" t="s">
        <v>32</v>
      </c>
      <c r="D13" s="13">
        <v>5.0</v>
      </c>
      <c r="E13" s="13">
        <v>5.0</v>
      </c>
      <c r="F13" s="13">
        <v>3.0</v>
      </c>
      <c r="G13" s="13">
        <v>5.0</v>
      </c>
      <c r="H13" s="13">
        <v>3.0</v>
      </c>
      <c r="I13" s="13">
        <v>4.0</v>
      </c>
      <c r="J13" s="13">
        <v>2.0</v>
      </c>
      <c r="K13" s="13">
        <v>2.0</v>
      </c>
      <c r="L13" s="13">
        <v>3.0</v>
      </c>
      <c r="M13" s="13">
        <v>4.0</v>
      </c>
      <c r="N13" s="13">
        <v>1.0</v>
      </c>
      <c r="O13" s="13">
        <v>2.0</v>
      </c>
      <c r="P13" s="13">
        <v>2.0</v>
      </c>
      <c r="Q13" s="13">
        <v>1.0</v>
      </c>
      <c r="R13" s="13">
        <v>2.0</v>
      </c>
      <c r="S13" s="13">
        <v>168.0</v>
      </c>
      <c r="T13" s="15" t="s">
        <v>11</v>
      </c>
      <c r="U13" s="16">
        <f t="shared" si="1"/>
        <v>2.933333333</v>
      </c>
      <c r="V13" s="17"/>
      <c r="W13" s="13"/>
      <c r="X13" s="13"/>
      <c r="Y13" s="13"/>
    </row>
    <row r="14" ht="14.25" customHeight="1">
      <c r="A14" s="7">
        <v>45484.0</v>
      </c>
      <c r="B14" s="8" t="s">
        <v>33</v>
      </c>
      <c r="C14" s="9" t="s">
        <v>34</v>
      </c>
      <c r="D14" s="8">
        <v>0.0</v>
      </c>
      <c r="E14" s="8">
        <v>0.0</v>
      </c>
      <c r="F14" s="8">
        <v>0.0</v>
      </c>
      <c r="G14" s="8">
        <v>0.0</v>
      </c>
      <c r="H14" s="8">
        <v>1.0</v>
      </c>
      <c r="I14" s="8">
        <v>0.0</v>
      </c>
      <c r="J14" s="8">
        <v>0.0</v>
      </c>
      <c r="K14" s="8">
        <v>0.0</v>
      </c>
      <c r="L14" s="8">
        <v>1.0</v>
      </c>
      <c r="M14" s="8">
        <v>0.0</v>
      </c>
      <c r="N14" s="8">
        <v>0.0</v>
      </c>
      <c r="O14" s="8">
        <v>0.0</v>
      </c>
      <c r="P14" s="8">
        <v>0.0</v>
      </c>
      <c r="Q14" s="8">
        <v>0.0</v>
      </c>
      <c r="R14" s="8">
        <v>0.0</v>
      </c>
      <c r="S14" s="8">
        <v>148.0</v>
      </c>
      <c r="U14" s="10">
        <f t="shared" si="1"/>
        <v>0.1333333333</v>
      </c>
      <c r="V14" s="11"/>
    </row>
    <row r="15" ht="14.25" customHeight="1">
      <c r="A15" s="7">
        <v>45477.0</v>
      </c>
      <c r="B15" s="8" t="s">
        <v>35</v>
      </c>
      <c r="C15" s="9" t="s">
        <v>36</v>
      </c>
      <c r="D15" s="8">
        <v>2.0</v>
      </c>
      <c r="E15" s="8">
        <v>4.0</v>
      </c>
      <c r="F15" s="8">
        <v>5.0</v>
      </c>
      <c r="G15" s="8">
        <v>8.0</v>
      </c>
      <c r="H15" s="8">
        <v>6.0</v>
      </c>
      <c r="I15" s="8">
        <v>5.0</v>
      </c>
      <c r="J15" s="8">
        <v>6.0</v>
      </c>
      <c r="K15" s="8">
        <v>5.0</v>
      </c>
      <c r="L15" s="8">
        <v>3.0</v>
      </c>
      <c r="M15" s="8">
        <v>1.0</v>
      </c>
      <c r="N15" s="8">
        <v>4.0</v>
      </c>
      <c r="O15" s="8">
        <v>3.0</v>
      </c>
      <c r="P15" s="8">
        <v>2.0</v>
      </c>
      <c r="Q15" s="8">
        <v>4.0</v>
      </c>
      <c r="R15" s="8">
        <v>5.0</v>
      </c>
      <c r="S15" s="8">
        <v>187.0</v>
      </c>
      <c r="U15" s="10">
        <f t="shared" si="1"/>
        <v>4.2</v>
      </c>
      <c r="V15" s="24"/>
    </row>
    <row r="16" ht="14.25" customHeight="1">
      <c r="A16" s="7">
        <v>45490.0</v>
      </c>
      <c r="B16" s="8" t="s">
        <v>37</v>
      </c>
      <c r="C16" s="9" t="s">
        <v>38</v>
      </c>
      <c r="D16" s="8">
        <v>0.0</v>
      </c>
      <c r="E16" s="8">
        <v>0.0</v>
      </c>
      <c r="F16" s="8">
        <v>0.0</v>
      </c>
      <c r="G16" s="8">
        <v>0.0</v>
      </c>
      <c r="H16" s="8">
        <v>0.0</v>
      </c>
      <c r="I16" s="8">
        <v>0.0</v>
      </c>
      <c r="J16" s="8">
        <v>0.0</v>
      </c>
      <c r="K16" s="8">
        <v>0.0</v>
      </c>
      <c r="L16" s="8">
        <v>0.0</v>
      </c>
      <c r="M16" s="8">
        <v>0.0</v>
      </c>
      <c r="N16" s="8">
        <v>0.0</v>
      </c>
      <c r="O16" s="25">
        <v>0.0</v>
      </c>
      <c r="P16" s="8">
        <v>0.0</v>
      </c>
      <c r="Q16" s="8">
        <v>0.0</v>
      </c>
      <c r="R16" s="8">
        <v>0.0</v>
      </c>
      <c r="S16" s="8">
        <v>150.0</v>
      </c>
      <c r="U16" s="10">
        <f t="shared" si="1"/>
        <v>0</v>
      </c>
      <c r="V16" s="23"/>
    </row>
    <row r="17" ht="14.25" customHeight="1">
      <c r="A17" s="7">
        <v>45476.0</v>
      </c>
      <c r="B17" s="8" t="s">
        <v>39</v>
      </c>
      <c r="C17" s="9" t="s">
        <v>40</v>
      </c>
      <c r="D17" s="8">
        <v>5.0</v>
      </c>
      <c r="E17" s="8">
        <v>5.0</v>
      </c>
      <c r="F17" s="8">
        <v>5.0</v>
      </c>
      <c r="G17" s="8">
        <v>10.0</v>
      </c>
      <c r="H17" s="8">
        <v>10.0</v>
      </c>
      <c r="I17" s="8">
        <v>5.0</v>
      </c>
      <c r="J17" s="8">
        <v>5.0</v>
      </c>
      <c r="K17" s="8">
        <v>5.0</v>
      </c>
      <c r="L17" s="8">
        <v>0.0</v>
      </c>
      <c r="M17" s="8">
        <v>5.0</v>
      </c>
      <c r="N17" s="8">
        <v>10.0</v>
      </c>
      <c r="O17" s="8">
        <v>5.0</v>
      </c>
      <c r="P17" s="8">
        <v>10.0</v>
      </c>
      <c r="Q17" s="8">
        <v>10.0</v>
      </c>
      <c r="R17" s="8">
        <v>0.0</v>
      </c>
      <c r="S17" s="8">
        <v>197.0</v>
      </c>
      <c r="U17" s="10">
        <f t="shared" si="1"/>
        <v>6</v>
      </c>
      <c r="V17" s="23"/>
    </row>
    <row r="18" ht="14.25" customHeight="1">
      <c r="A18" s="12">
        <v>45476.0</v>
      </c>
      <c r="B18" s="13" t="s">
        <v>41</v>
      </c>
      <c r="C18" s="14" t="s">
        <v>42</v>
      </c>
      <c r="D18" s="13">
        <v>1.0</v>
      </c>
      <c r="E18" s="13">
        <v>2.0</v>
      </c>
      <c r="F18" s="13">
        <v>3.0</v>
      </c>
      <c r="G18" s="13">
        <v>4.0</v>
      </c>
      <c r="H18" s="13">
        <v>5.0</v>
      </c>
      <c r="I18" s="13">
        <v>4.0</v>
      </c>
      <c r="J18" s="13">
        <v>0.0</v>
      </c>
      <c r="K18" s="13">
        <v>0.0</v>
      </c>
      <c r="L18" s="13">
        <v>1.0</v>
      </c>
      <c r="M18" s="13">
        <v>0.0</v>
      </c>
      <c r="N18" s="13">
        <v>0.0</v>
      </c>
      <c r="O18" s="13">
        <v>0.0</v>
      </c>
      <c r="P18" s="13">
        <v>1.0</v>
      </c>
      <c r="Q18" s="13">
        <v>0.0</v>
      </c>
      <c r="R18" s="13">
        <v>0.0</v>
      </c>
      <c r="S18" s="13">
        <v>152.0</v>
      </c>
      <c r="T18" s="15" t="s">
        <v>11</v>
      </c>
      <c r="U18" s="16">
        <f t="shared" si="1"/>
        <v>1.4</v>
      </c>
      <c r="V18" s="22"/>
      <c r="W18" s="13"/>
      <c r="X18" s="13"/>
      <c r="Y18" s="13"/>
    </row>
    <row r="19" ht="14.25" customHeight="1">
      <c r="A19" s="7">
        <v>45477.0</v>
      </c>
      <c r="B19" s="8" t="s">
        <v>43</v>
      </c>
      <c r="C19" s="9" t="s">
        <v>44</v>
      </c>
      <c r="D19" s="8">
        <v>5.0</v>
      </c>
      <c r="E19" s="8">
        <v>5.0</v>
      </c>
      <c r="F19" s="8">
        <v>6.0</v>
      </c>
      <c r="G19" s="8">
        <v>6.0</v>
      </c>
      <c r="H19" s="8">
        <v>9.0</v>
      </c>
      <c r="I19" s="8">
        <v>5.0</v>
      </c>
      <c r="J19" s="8">
        <v>4.0</v>
      </c>
      <c r="K19" s="8">
        <v>5.0</v>
      </c>
      <c r="L19" s="8">
        <v>4.0</v>
      </c>
      <c r="M19" s="8">
        <v>5.0</v>
      </c>
      <c r="N19" s="8">
        <v>3.0</v>
      </c>
      <c r="O19" s="8">
        <v>5.0</v>
      </c>
      <c r="P19" s="8">
        <v>9.0</v>
      </c>
      <c r="Q19" s="8">
        <v>9.0</v>
      </c>
      <c r="R19" s="8">
        <v>9.0</v>
      </c>
      <c r="S19" s="8">
        <v>200.0</v>
      </c>
      <c r="U19" s="10">
        <f t="shared" si="1"/>
        <v>5.933333333</v>
      </c>
      <c r="V19" s="11"/>
    </row>
    <row r="20" ht="14.25" customHeight="1">
      <c r="A20" s="7">
        <v>45476.0</v>
      </c>
      <c r="B20" s="8" t="s">
        <v>45</v>
      </c>
      <c r="C20" s="26" t="s">
        <v>46</v>
      </c>
      <c r="D20" s="8">
        <v>2.0</v>
      </c>
      <c r="E20" s="8">
        <v>5.0</v>
      </c>
      <c r="F20" s="8">
        <v>3.0</v>
      </c>
      <c r="G20" s="8">
        <v>7.0</v>
      </c>
      <c r="H20" s="8">
        <v>4.0</v>
      </c>
      <c r="I20" s="8">
        <v>1.0</v>
      </c>
      <c r="J20" s="8">
        <v>9.0</v>
      </c>
      <c r="K20" s="8">
        <v>5.0</v>
      </c>
      <c r="L20" s="8">
        <v>8.0</v>
      </c>
      <c r="M20" s="8">
        <v>2.0</v>
      </c>
      <c r="N20" s="8">
        <v>3.0</v>
      </c>
      <c r="O20" s="8">
        <v>6.0</v>
      </c>
      <c r="P20" s="8">
        <v>6.0</v>
      </c>
      <c r="Q20" s="8">
        <v>2.0</v>
      </c>
      <c r="R20" s="8">
        <v>6.0</v>
      </c>
      <c r="S20" s="8">
        <v>170.0</v>
      </c>
      <c r="U20" s="10">
        <f t="shared" si="1"/>
        <v>4.6</v>
      </c>
      <c r="V20" s="24"/>
    </row>
    <row r="21" ht="14.25" customHeight="1">
      <c r="A21" s="7">
        <v>45484.0</v>
      </c>
      <c r="B21" s="8" t="s">
        <v>47</v>
      </c>
      <c r="C21" s="9" t="s">
        <v>48</v>
      </c>
      <c r="D21" s="8">
        <v>0.0</v>
      </c>
      <c r="E21" s="8">
        <v>0.0</v>
      </c>
      <c r="F21" s="8">
        <v>0.0</v>
      </c>
      <c r="G21" s="8">
        <v>0.0</v>
      </c>
      <c r="H21" s="8">
        <v>0.0</v>
      </c>
      <c r="I21" s="8">
        <v>0.0</v>
      </c>
      <c r="J21" s="8">
        <v>0.0</v>
      </c>
      <c r="K21" s="8">
        <v>0.0</v>
      </c>
      <c r="L21" s="8">
        <v>0.0</v>
      </c>
      <c r="M21" s="8">
        <v>0.0</v>
      </c>
      <c r="N21" s="8">
        <v>0.0</v>
      </c>
      <c r="O21" s="8">
        <v>0.0</v>
      </c>
      <c r="P21" s="8">
        <v>0.0</v>
      </c>
      <c r="Q21" s="8">
        <v>0.0</v>
      </c>
      <c r="R21" s="8">
        <v>0.0</v>
      </c>
      <c r="S21" s="8">
        <v>150.0</v>
      </c>
      <c r="U21" s="10">
        <f t="shared" si="1"/>
        <v>0</v>
      </c>
      <c r="V21" s="23"/>
    </row>
    <row r="22" ht="14.25" customHeight="1">
      <c r="A22" s="7">
        <v>45485.0</v>
      </c>
      <c r="B22" s="8" t="s">
        <v>49</v>
      </c>
      <c r="C22" s="9" t="s">
        <v>50</v>
      </c>
      <c r="D22" s="8">
        <v>10.0</v>
      </c>
      <c r="E22" s="8">
        <v>8.0</v>
      </c>
      <c r="F22" s="8">
        <v>5.0</v>
      </c>
      <c r="G22" s="8">
        <v>4.0</v>
      </c>
      <c r="H22" s="8">
        <v>10.0</v>
      </c>
      <c r="I22" s="8">
        <v>3.0</v>
      </c>
      <c r="J22" s="8">
        <v>6.0</v>
      </c>
      <c r="K22" s="8">
        <v>9.0</v>
      </c>
      <c r="L22" s="8">
        <v>2.0</v>
      </c>
      <c r="M22" s="8">
        <v>5.0</v>
      </c>
      <c r="N22" s="8">
        <v>10.0</v>
      </c>
      <c r="O22" s="8">
        <v>5.0</v>
      </c>
      <c r="P22" s="8">
        <v>8.0</v>
      </c>
      <c r="Q22" s="8">
        <v>6.0</v>
      </c>
      <c r="R22" s="8">
        <v>4.0</v>
      </c>
      <c r="S22" s="8">
        <v>200.0</v>
      </c>
      <c r="U22" s="10">
        <f t="shared" si="1"/>
        <v>6.333333333</v>
      </c>
      <c r="V22" s="11"/>
    </row>
    <row r="23" ht="14.25" customHeight="1">
      <c r="A23" s="7">
        <v>45476.0</v>
      </c>
      <c r="B23" s="8" t="s">
        <v>51</v>
      </c>
      <c r="C23" s="9" t="s">
        <v>52</v>
      </c>
      <c r="D23" s="8">
        <v>0.0</v>
      </c>
      <c r="E23" s="8">
        <v>0.0</v>
      </c>
      <c r="F23" s="8">
        <v>2.0</v>
      </c>
      <c r="G23" s="8">
        <v>4.0</v>
      </c>
      <c r="H23" s="8">
        <v>5.0</v>
      </c>
      <c r="I23" s="8">
        <v>2.0</v>
      </c>
      <c r="J23" s="8">
        <v>5.0</v>
      </c>
      <c r="K23" s="8">
        <v>2.0</v>
      </c>
      <c r="L23" s="8">
        <v>5.0</v>
      </c>
      <c r="M23" s="8">
        <v>3.0</v>
      </c>
      <c r="N23" s="8">
        <v>5.0</v>
      </c>
      <c r="O23" s="8">
        <v>4.0</v>
      </c>
      <c r="P23" s="8">
        <v>5.0</v>
      </c>
      <c r="Q23" s="8">
        <v>3.0</v>
      </c>
      <c r="R23" s="8">
        <v>7.0</v>
      </c>
      <c r="S23" s="8">
        <v>174.0</v>
      </c>
      <c r="U23" s="10">
        <f t="shared" si="1"/>
        <v>3.466666667</v>
      </c>
      <c r="V23" s="11"/>
    </row>
    <row r="24" ht="14.25" customHeight="1">
      <c r="A24" s="7">
        <v>45476.0</v>
      </c>
      <c r="B24" s="8" t="s">
        <v>53</v>
      </c>
      <c r="C24" s="9" t="s">
        <v>54</v>
      </c>
      <c r="D24" s="8">
        <v>5.0</v>
      </c>
      <c r="E24" s="8">
        <v>8.0</v>
      </c>
      <c r="F24" s="8">
        <v>8.0</v>
      </c>
      <c r="G24" s="8">
        <v>8.0</v>
      </c>
      <c r="H24" s="8">
        <v>8.0</v>
      </c>
      <c r="I24" s="8">
        <v>4.0</v>
      </c>
      <c r="J24" s="8">
        <v>5.0</v>
      </c>
      <c r="K24" s="8">
        <v>5.0</v>
      </c>
      <c r="L24" s="8">
        <v>7.0</v>
      </c>
      <c r="M24" s="8">
        <v>6.0</v>
      </c>
      <c r="N24" s="8">
        <v>5.0</v>
      </c>
      <c r="O24" s="8">
        <v>8.0</v>
      </c>
      <c r="P24" s="8">
        <v>6.0</v>
      </c>
      <c r="Q24" s="8">
        <v>8.0</v>
      </c>
      <c r="R24" s="8">
        <v>7.0</v>
      </c>
      <c r="S24" s="8">
        <v>189.0</v>
      </c>
      <c r="U24" s="10">
        <f t="shared" si="1"/>
        <v>6.533333333</v>
      </c>
      <c r="V24" s="11"/>
    </row>
    <row r="25" ht="14.25" customHeight="1">
      <c r="A25" s="12">
        <v>45475.0</v>
      </c>
      <c r="B25" s="13" t="s">
        <v>55</v>
      </c>
      <c r="C25" s="14" t="s">
        <v>56</v>
      </c>
      <c r="D25" s="13">
        <v>9.0</v>
      </c>
      <c r="E25" s="13">
        <v>1.0</v>
      </c>
      <c r="F25" s="13">
        <v>9.0</v>
      </c>
      <c r="G25" s="13">
        <v>3.0</v>
      </c>
      <c r="H25" s="13">
        <v>3.0</v>
      </c>
      <c r="I25" s="13">
        <v>3.0</v>
      </c>
      <c r="J25" s="13">
        <v>3.0</v>
      </c>
      <c r="K25" s="13">
        <v>3.0</v>
      </c>
      <c r="L25" s="13">
        <v>3.0</v>
      </c>
      <c r="M25" s="13">
        <v>5.0</v>
      </c>
      <c r="N25" s="13">
        <v>3.0</v>
      </c>
      <c r="O25" s="13">
        <v>3.0</v>
      </c>
      <c r="P25" s="13">
        <v>3.0</v>
      </c>
      <c r="Q25" s="13">
        <v>5.0</v>
      </c>
      <c r="R25" s="13">
        <v>3.0</v>
      </c>
      <c r="S25" s="13">
        <v>183.0</v>
      </c>
      <c r="T25" s="15" t="s">
        <v>57</v>
      </c>
      <c r="U25" s="16">
        <f t="shared" si="1"/>
        <v>3.933333333</v>
      </c>
      <c r="V25" s="17"/>
      <c r="W25" s="13"/>
      <c r="X25" s="13"/>
      <c r="Y25" s="13"/>
    </row>
    <row r="26" ht="14.25" customHeight="1">
      <c r="A26" s="7">
        <v>45476.0</v>
      </c>
      <c r="B26" s="8" t="s">
        <v>58</v>
      </c>
      <c r="C26" s="9" t="s">
        <v>59</v>
      </c>
      <c r="D26" s="8">
        <v>4.0</v>
      </c>
      <c r="E26" s="8">
        <v>4.0</v>
      </c>
      <c r="F26" s="8">
        <v>4.0</v>
      </c>
      <c r="G26" s="8">
        <v>4.0</v>
      </c>
      <c r="H26" s="8">
        <v>5.0</v>
      </c>
      <c r="I26" s="8">
        <v>4.0</v>
      </c>
      <c r="J26" s="8">
        <v>3.0</v>
      </c>
      <c r="K26" s="8">
        <v>6.0</v>
      </c>
      <c r="L26" s="8">
        <v>4.0</v>
      </c>
      <c r="M26" s="8">
        <v>2.0</v>
      </c>
      <c r="N26" s="8">
        <v>5.0</v>
      </c>
      <c r="O26" s="8">
        <v>5.0</v>
      </c>
      <c r="P26" s="8">
        <v>5.0</v>
      </c>
      <c r="Q26" s="8">
        <v>5.0</v>
      </c>
      <c r="R26" s="8">
        <v>5.0</v>
      </c>
      <c r="S26" s="8">
        <v>185.0</v>
      </c>
      <c r="T26" s="8" t="s">
        <v>60</v>
      </c>
      <c r="U26" s="10">
        <f t="shared" si="1"/>
        <v>4.333333333</v>
      </c>
      <c r="V26" s="11"/>
    </row>
    <row r="27" ht="14.25" customHeight="1">
      <c r="A27" s="27">
        <v>45545.0</v>
      </c>
      <c r="B27" s="28" t="s">
        <v>61</v>
      </c>
      <c r="C27" s="29" t="s">
        <v>62</v>
      </c>
      <c r="D27" s="30">
        <v>5.0</v>
      </c>
      <c r="E27" s="30">
        <v>8.0</v>
      </c>
      <c r="F27" s="30">
        <v>10.0</v>
      </c>
      <c r="G27" s="30">
        <v>8.0</v>
      </c>
      <c r="H27" s="30">
        <v>7.0</v>
      </c>
      <c r="I27" s="30">
        <v>9.0</v>
      </c>
      <c r="J27" s="30">
        <v>10.0</v>
      </c>
      <c r="K27" s="30">
        <v>8.0</v>
      </c>
      <c r="L27" s="30">
        <v>9.0</v>
      </c>
      <c r="M27" s="30">
        <v>7.0</v>
      </c>
      <c r="N27" s="30">
        <v>6.0</v>
      </c>
      <c r="O27" s="30">
        <v>6.0</v>
      </c>
      <c r="P27" s="30">
        <v>5.0</v>
      </c>
      <c r="Q27" s="30">
        <v>4.0</v>
      </c>
      <c r="R27" s="30">
        <v>3.0</v>
      </c>
      <c r="S27" s="30">
        <v>169.0</v>
      </c>
      <c r="U27" s="10">
        <f t="shared" si="1"/>
        <v>7</v>
      </c>
    </row>
    <row r="28" ht="14.25" customHeight="1">
      <c r="A28" s="27">
        <v>45504.0</v>
      </c>
      <c r="B28" s="28" t="s">
        <v>63</v>
      </c>
      <c r="C28" s="29" t="s">
        <v>64</v>
      </c>
      <c r="D28" s="30">
        <v>2.0</v>
      </c>
      <c r="E28" s="30">
        <v>1.0</v>
      </c>
      <c r="F28" s="30">
        <v>5.0</v>
      </c>
      <c r="G28" s="30">
        <v>4.0</v>
      </c>
      <c r="H28" s="30">
        <v>4.0</v>
      </c>
      <c r="I28" s="30">
        <v>3.0</v>
      </c>
      <c r="J28" s="30">
        <v>1.0</v>
      </c>
      <c r="K28" s="30">
        <v>2.0</v>
      </c>
      <c r="L28" s="30">
        <v>2.0</v>
      </c>
      <c r="M28" s="30">
        <v>3.0</v>
      </c>
      <c r="N28" s="30">
        <v>2.0</v>
      </c>
      <c r="O28" s="30">
        <v>2.0</v>
      </c>
      <c r="P28" s="30">
        <v>1.0</v>
      </c>
      <c r="Q28" s="30">
        <v>3.0</v>
      </c>
      <c r="R28" s="30">
        <v>2.0</v>
      </c>
      <c r="S28" s="30">
        <v>154.0</v>
      </c>
      <c r="U28" s="10">
        <f t="shared" si="1"/>
        <v>2.466666667</v>
      </c>
    </row>
    <row r="29" ht="14.25" customHeight="1">
      <c r="A29" s="31">
        <v>45505.0</v>
      </c>
      <c r="B29" s="32" t="s">
        <v>65</v>
      </c>
      <c r="C29" s="32" t="s">
        <v>66</v>
      </c>
      <c r="D29" s="33">
        <v>10.0</v>
      </c>
      <c r="E29" s="33">
        <v>5.0</v>
      </c>
      <c r="F29" s="33">
        <v>8.0</v>
      </c>
      <c r="G29" s="33">
        <v>8.0</v>
      </c>
      <c r="H29" s="33">
        <v>10.0</v>
      </c>
      <c r="I29" s="33">
        <v>10.0</v>
      </c>
      <c r="J29" s="33">
        <v>10.0</v>
      </c>
      <c r="K29" s="33">
        <v>5.0</v>
      </c>
      <c r="L29" s="33">
        <v>10.0</v>
      </c>
      <c r="M29" s="33">
        <v>8.0</v>
      </c>
      <c r="N29" s="33">
        <v>10.0</v>
      </c>
      <c r="O29" s="33">
        <v>8.0</v>
      </c>
      <c r="P29" s="33">
        <v>5.0</v>
      </c>
      <c r="Q29" s="33">
        <v>8.0</v>
      </c>
      <c r="R29" s="33">
        <v>8.0</v>
      </c>
      <c r="S29" s="33">
        <v>166.0</v>
      </c>
      <c r="T29" s="15" t="s">
        <v>67</v>
      </c>
      <c r="U29" s="16">
        <f t="shared" si="1"/>
        <v>8.2</v>
      </c>
      <c r="V29" s="13"/>
      <c r="W29" s="13"/>
      <c r="X29" s="13"/>
      <c r="Y29" s="13"/>
    </row>
    <row r="30" ht="14.25" customHeight="1">
      <c r="A30" s="27">
        <v>45506.0</v>
      </c>
      <c r="B30" s="28" t="s">
        <v>63</v>
      </c>
      <c r="C30" s="28" t="s">
        <v>68</v>
      </c>
      <c r="D30" s="30">
        <v>0.0</v>
      </c>
      <c r="E30" s="30">
        <v>5.0</v>
      </c>
      <c r="F30" s="30">
        <v>5.0</v>
      </c>
      <c r="G30" s="30">
        <v>3.0</v>
      </c>
      <c r="H30" s="30">
        <v>0.0</v>
      </c>
      <c r="I30" s="30">
        <v>2.0</v>
      </c>
      <c r="J30" s="30">
        <v>1.0</v>
      </c>
      <c r="K30" s="30">
        <v>0.0</v>
      </c>
      <c r="L30" s="30">
        <v>2.0</v>
      </c>
      <c r="M30" s="30">
        <v>0.0</v>
      </c>
      <c r="N30" s="30">
        <v>0.0</v>
      </c>
      <c r="O30" s="30">
        <v>0.0</v>
      </c>
      <c r="P30" s="30">
        <v>0.0</v>
      </c>
      <c r="Q30" s="30">
        <v>0.0</v>
      </c>
      <c r="R30" s="30">
        <v>0.0</v>
      </c>
      <c r="S30" s="30">
        <v>159.0</v>
      </c>
      <c r="U30" s="10">
        <f t="shared" si="1"/>
        <v>1.2</v>
      </c>
    </row>
    <row r="31" ht="14.25" customHeight="1">
      <c r="A31" s="27">
        <v>45505.0</v>
      </c>
      <c r="B31" s="28" t="s">
        <v>15</v>
      </c>
      <c r="C31" s="29" t="s">
        <v>69</v>
      </c>
      <c r="D31" s="30">
        <v>0.0</v>
      </c>
      <c r="E31" s="30">
        <v>0.0</v>
      </c>
      <c r="F31" s="30">
        <v>2.0</v>
      </c>
      <c r="G31" s="30">
        <v>2.0</v>
      </c>
      <c r="H31" s="30">
        <v>2.0</v>
      </c>
      <c r="U31" s="10">
        <f t="shared" si="1"/>
        <v>1.2</v>
      </c>
    </row>
    <row r="32" ht="14.25" customHeight="1">
      <c r="A32" s="31">
        <v>45511.0</v>
      </c>
      <c r="B32" s="32" t="s">
        <v>70</v>
      </c>
      <c r="C32" s="32" t="s">
        <v>71</v>
      </c>
      <c r="D32" s="33">
        <v>5.0</v>
      </c>
      <c r="E32" s="33">
        <v>5.0</v>
      </c>
      <c r="F32" s="33">
        <v>5.0</v>
      </c>
      <c r="G32" s="33">
        <v>5.0</v>
      </c>
      <c r="H32" s="33">
        <v>5.0</v>
      </c>
      <c r="I32" s="33">
        <v>5.0</v>
      </c>
      <c r="J32" s="33">
        <v>5.0</v>
      </c>
      <c r="K32" s="13"/>
      <c r="L32" s="13"/>
      <c r="M32" s="13"/>
      <c r="N32" s="13"/>
      <c r="O32" s="13"/>
      <c r="P32" s="13"/>
      <c r="Q32" s="13"/>
      <c r="R32" s="13"/>
      <c r="S32" s="13"/>
      <c r="T32" s="15" t="s">
        <v>67</v>
      </c>
      <c r="U32" s="16">
        <f t="shared" si="1"/>
        <v>5</v>
      </c>
      <c r="V32" s="13"/>
      <c r="W32" s="13"/>
      <c r="X32" s="13"/>
      <c r="Y32" s="13"/>
    </row>
    <row r="33" ht="14.25" customHeight="1">
      <c r="C33" s="26" t="s">
        <v>4</v>
      </c>
      <c r="D33" s="34">
        <f t="shared" ref="D33:R33" si="2">AVERAGE(D2:D32)</f>
        <v>3.548387097</v>
      </c>
      <c r="E33" s="34">
        <f t="shared" si="2"/>
        <v>4.129032258</v>
      </c>
      <c r="F33" s="34">
        <f t="shared" si="2"/>
        <v>4.580645161</v>
      </c>
      <c r="G33" s="34">
        <f t="shared" si="2"/>
        <v>4.258064516</v>
      </c>
      <c r="H33" s="34">
        <f t="shared" si="2"/>
        <v>5.387096774</v>
      </c>
      <c r="I33" s="34">
        <f t="shared" si="2"/>
        <v>4.033333333</v>
      </c>
      <c r="J33" s="34">
        <f t="shared" si="2"/>
        <v>4</v>
      </c>
      <c r="K33" s="34">
        <f t="shared" si="2"/>
        <v>3.413793103</v>
      </c>
      <c r="L33" s="34">
        <f t="shared" si="2"/>
        <v>3.379310345</v>
      </c>
      <c r="M33" s="34">
        <f t="shared" si="2"/>
        <v>3.517241379</v>
      </c>
      <c r="N33" s="34">
        <f t="shared" si="2"/>
        <v>3.827586207</v>
      </c>
      <c r="O33" s="34">
        <f t="shared" si="2"/>
        <v>4.034482759</v>
      </c>
      <c r="P33" s="34">
        <f t="shared" si="2"/>
        <v>3.896551724</v>
      </c>
      <c r="Q33" s="34">
        <f t="shared" si="2"/>
        <v>3.965517241</v>
      </c>
      <c r="R33" s="34">
        <f t="shared" si="2"/>
        <v>4.379310345</v>
      </c>
    </row>
    <row r="34" ht="14.25" customHeight="1">
      <c r="C34" s="9"/>
    </row>
    <row r="35" ht="14.25" customHeight="1">
      <c r="C35" s="9"/>
    </row>
    <row r="36" ht="14.25" customHeight="1">
      <c r="C36" s="26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</row>
    <row r="37" ht="14.25" customHeight="1">
      <c r="C37" s="26"/>
      <c r="D37" s="34"/>
    </row>
    <row r="38" ht="14.25" customHeight="1">
      <c r="C38" s="26"/>
      <c r="D38" s="34"/>
      <c r="E38" s="35" t="s">
        <v>72</v>
      </c>
      <c r="F38" s="36" t="s">
        <v>73</v>
      </c>
      <c r="G38" s="35" t="s">
        <v>74</v>
      </c>
    </row>
    <row r="39" ht="14.25" customHeight="1">
      <c r="C39" s="26"/>
      <c r="D39" s="34"/>
      <c r="E39" s="35">
        <v>1.0</v>
      </c>
      <c r="F39" s="37">
        <f t="shared" ref="F39:F48" si="3">COUNTIF($D$2:$R$32,E39)</f>
        <v>22</v>
      </c>
      <c r="G39" s="38">
        <f t="shared" ref="G39:G48" si="4">F39/(SUM($F$39:$F$48))*100</f>
        <v>5.898123324</v>
      </c>
    </row>
    <row r="40" ht="14.25" customHeight="1">
      <c r="C40" s="26"/>
      <c r="D40" s="34"/>
      <c r="E40" s="35">
        <v>2.0</v>
      </c>
      <c r="F40" s="37">
        <f t="shared" si="3"/>
        <v>53</v>
      </c>
      <c r="G40" s="38">
        <f t="shared" si="4"/>
        <v>14.20911528</v>
      </c>
    </row>
    <row r="41" ht="14.25" customHeight="1">
      <c r="C41" s="26"/>
      <c r="D41" s="34"/>
      <c r="E41" s="35">
        <v>3.0</v>
      </c>
      <c r="F41" s="37">
        <f t="shared" si="3"/>
        <v>44</v>
      </c>
      <c r="G41" s="38">
        <f t="shared" si="4"/>
        <v>11.79624665</v>
      </c>
    </row>
    <row r="42" ht="14.25" customHeight="1">
      <c r="C42" s="26"/>
      <c r="D42" s="34"/>
      <c r="E42" s="35">
        <v>4.0</v>
      </c>
      <c r="F42" s="37">
        <f t="shared" si="3"/>
        <v>37</v>
      </c>
      <c r="G42" s="38">
        <f t="shared" si="4"/>
        <v>9.919571046</v>
      </c>
    </row>
    <row r="43" ht="14.25" customHeight="1">
      <c r="C43" s="26"/>
      <c r="D43" s="34"/>
      <c r="E43" s="35">
        <v>5.0</v>
      </c>
      <c r="F43" s="37">
        <f t="shared" si="3"/>
        <v>121</v>
      </c>
      <c r="G43" s="38">
        <f t="shared" si="4"/>
        <v>32.43967828</v>
      </c>
    </row>
    <row r="44" ht="14.25" customHeight="1">
      <c r="C44" s="26"/>
      <c r="D44" s="34"/>
      <c r="E44" s="35">
        <v>6.0</v>
      </c>
      <c r="F44" s="37">
        <f t="shared" si="3"/>
        <v>20</v>
      </c>
      <c r="G44" s="38">
        <f t="shared" si="4"/>
        <v>5.361930295</v>
      </c>
    </row>
    <row r="45" ht="14.25" customHeight="1">
      <c r="C45" s="26"/>
      <c r="D45" s="34"/>
      <c r="E45" s="35">
        <v>7.0</v>
      </c>
      <c r="F45" s="37">
        <f t="shared" si="3"/>
        <v>10</v>
      </c>
      <c r="G45" s="38">
        <f t="shared" si="4"/>
        <v>2.680965147</v>
      </c>
    </row>
    <row r="46" ht="14.25" customHeight="1">
      <c r="C46" s="26"/>
      <c r="D46" s="34"/>
      <c r="E46" s="35">
        <v>8.0</v>
      </c>
      <c r="F46" s="37">
        <f t="shared" si="3"/>
        <v>24</v>
      </c>
      <c r="G46" s="38">
        <f t="shared" si="4"/>
        <v>6.434316354</v>
      </c>
    </row>
    <row r="47" ht="14.25" customHeight="1">
      <c r="C47" s="26"/>
      <c r="D47" s="34"/>
      <c r="E47" s="35">
        <v>9.0</v>
      </c>
      <c r="F47" s="37">
        <f t="shared" si="3"/>
        <v>13</v>
      </c>
      <c r="G47" s="38">
        <f t="shared" si="4"/>
        <v>3.485254692</v>
      </c>
    </row>
    <row r="48" ht="14.25" customHeight="1">
      <c r="C48" s="26"/>
      <c r="D48" s="34"/>
      <c r="E48" s="35">
        <v>10.0</v>
      </c>
      <c r="F48" s="37">
        <f t="shared" si="3"/>
        <v>29</v>
      </c>
      <c r="G48" s="38">
        <f t="shared" si="4"/>
        <v>7.774798928</v>
      </c>
    </row>
    <row r="49" ht="14.25" customHeight="1">
      <c r="C49" s="26"/>
      <c r="D49" s="34"/>
      <c r="E49" s="39"/>
    </row>
    <row r="50" ht="14.25" customHeight="1">
      <c r="C50" s="26"/>
      <c r="D50" s="34"/>
      <c r="E50" s="39"/>
    </row>
    <row r="51" ht="14.25" customHeight="1">
      <c r="C51" s="9"/>
      <c r="E51" s="39"/>
    </row>
    <row r="52" ht="14.25" customHeight="1">
      <c r="C52" s="9"/>
      <c r="E52" s="39"/>
    </row>
    <row r="53" ht="14.25" customHeight="1">
      <c r="C53" s="9"/>
      <c r="E53" s="39"/>
    </row>
    <row r="54" ht="14.25" customHeight="1">
      <c r="C54" s="9"/>
    </row>
    <row r="55" ht="14.25" customHeight="1">
      <c r="C55" s="9"/>
    </row>
    <row r="56" ht="14.25" customHeight="1">
      <c r="C56" s="9"/>
    </row>
    <row r="57" ht="14.25" customHeight="1">
      <c r="C57" s="9"/>
    </row>
    <row r="58" ht="14.25" customHeight="1">
      <c r="C58" s="9"/>
    </row>
    <row r="59" ht="14.25" customHeight="1">
      <c r="C59" s="9"/>
    </row>
    <row r="60" ht="14.25" customHeight="1">
      <c r="C60" s="9"/>
    </row>
    <row r="61" ht="14.25" customHeight="1">
      <c r="C61" s="9"/>
    </row>
    <row r="62" ht="14.25" customHeight="1">
      <c r="C62" s="9"/>
    </row>
    <row r="63" ht="14.25" customHeight="1">
      <c r="C63" s="9"/>
    </row>
    <row r="64" ht="14.25" customHeight="1">
      <c r="C64" s="9"/>
    </row>
    <row r="65" ht="14.25" customHeight="1">
      <c r="C65" s="9"/>
    </row>
    <row r="66" ht="14.25" customHeight="1">
      <c r="C66" s="9"/>
    </row>
    <row r="67" ht="14.25" customHeight="1">
      <c r="C67" s="9"/>
    </row>
    <row r="68" ht="14.25" customHeight="1">
      <c r="C68" s="9"/>
    </row>
    <row r="69" ht="14.25" customHeight="1">
      <c r="C69" s="9"/>
    </row>
    <row r="70" ht="14.25" customHeight="1">
      <c r="C70" s="9"/>
    </row>
    <row r="71" ht="14.25" customHeight="1">
      <c r="C71" s="9"/>
    </row>
    <row r="72" ht="14.25" customHeight="1">
      <c r="C72" s="9"/>
    </row>
    <row r="73" ht="14.25" customHeight="1">
      <c r="C73" s="9"/>
    </row>
    <row r="74" ht="14.25" customHeight="1">
      <c r="C74" s="9"/>
    </row>
    <row r="75" ht="14.25" customHeight="1">
      <c r="C75" s="9"/>
    </row>
    <row r="76" ht="14.25" customHeight="1">
      <c r="C76" s="9"/>
    </row>
    <row r="77" ht="14.25" customHeight="1">
      <c r="C77" s="9"/>
    </row>
    <row r="78" ht="14.25" customHeight="1">
      <c r="C78" s="9"/>
    </row>
    <row r="79" ht="14.25" customHeight="1">
      <c r="C79" s="9"/>
    </row>
    <row r="80" ht="14.25" customHeight="1">
      <c r="C80" s="9"/>
    </row>
    <row r="81" ht="14.25" customHeight="1">
      <c r="C81" s="9"/>
    </row>
    <row r="82" ht="14.25" customHeight="1">
      <c r="C82" s="9"/>
    </row>
    <row r="83" ht="14.25" customHeight="1">
      <c r="C83" s="9"/>
    </row>
    <row r="84" ht="14.25" customHeight="1">
      <c r="C84" s="9"/>
    </row>
    <row r="85" ht="14.25" customHeight="1">
      <c r="C85" s="9"/>
    </row>
    <row r="86" ht="14.25" customHeight="1">
      <c r="C86" s="9"/>
    </row>
    <row r="87" ht="14.25" customHeight="1">
      <c r="C87" s="9"/>
    </row>
    <row r="88" ht="14.25" customHeight="1">
      <c r="C88" s="9"/>
    </row>
    <row r="89" ht="14.25" customHeight="1">
      <c r="C89" s="9"/>
    </row>
    <row r="90" ht="14.25" customHeight="1">
      <c r="C90" s="9"/>
    </row>
    <row r="91" ht="14.25" customHeight="1">
      <c r="C91" s="9"/>
    </row>
    <row r="92" ht="14.25" customHeight="1">
      <c r="C92" s="9"/>
    </row>
    <row r="93" ht="14.25" customHeight="1">
      <c r="C93" s="9"/>
    </row>
    <row r="94" ht="14.25" customHeight="1">
      <c r="C94" s="9"/>
    </row>
    <row r="95" ht="14.25" customHeight="1">
      <c r="C95" s="9"/>
    </row>
    <row r="96" ht="14.25" customHeight="1">
      <c r="C96" s="9"/>
    </row>
    <row r="97" ht="14.25" customHeight="1">
      <c r="C97" s="9"/>
    </row>
    <row r="98" ht="14.25" customHeight="1">
      <c r="C98" s="9"/>
    </row>
    <row r="99" ht="14.25" customHeight="1">
      <c r="C99" s="9"/>
    </row>
    <row r="100" ht="14.25" customHeight="1">
      <c r="C100" s="9"/>
    </row>
    <row r="101" ht="14.25" customHeight="1">
      <c r="C101" s="9"/>
    </row>
    <row r="102" ht="14.25" customHeight="1">
      <c r="C102" s="9"/>
    </row>
    <row r="103" ht="14.25" customHeight="1">
      <c r="C103" s="9"/>
    </row>
    <row r="104" ht="14.25" customHeight="1">
      <c r="C104" s="9"/>
    </row>
    <row r="105" ht="14.25" customHeight="1">
      <c r="C105" s="9"/>
    </row>
    <row r="106" ht="14.25" customHeight="1">
      <c r="C106" s="9"/>
    </row>
    <row r="107" ht="14.25" customHeight="1">
      <c r="C107" s="9"/>
    </row>
    <row r="108" ht="14.25" customHeight="1">
      <c r="C108" s="9"/>
    </row>
    <row r="109" ht="14.25" customHeight="1">
      <c r="C109" s="9"/>
    </row>
    <row r="110" ht="14.25" customHeight="1">
      <c r="C110" s="9"/>
    </row>
    <row r="111" ht="14.25" customHeight="1">
      <c r="C111" s="9"/>
    </row>
    <row r="112" ht="14.25" customHeight="1">
      <c r="C112" s="9"/>
    </row>
    <row r="113" ht="14.25" customHeight="1">
      <c r="C113" s="9"/>
    </row>
    <row r="114" ht="14.25" customHeight="1">
      <c r="C114" s="9"/>
    </row>
    <row r="115" ht="14.25" customHeight="1">
      <c r="C115" s="9"/>
    </row>
    <row r="116" ht="14.25" customHeight="1">
      <c r="C116" s="9"/>
    </row>
    <row r="117" ht="14.25" customHeight="1">
      <c r="C117" s="9"/>
    </row>
    <row r="118" ht="14.25" customHeight="1">
      <c r="C118" s="9"/>
    </row>
    <row r="119" ht="14.25" customHeight="1">
      <c r="C119" s="9"/>
    </row>
    <row r="120" ht="14.25" customHeight="1">
      <c r="C120" s="9"/>
    </row>
    <row r="121" ht="14.25" customHeight="1">
      <c r="C121" s="9"/>
    </row>
    <row r="122" ht="14.25" customHeight="1">
      <c r="C122" s="9"/>
    </row>
    <row r="123" ht="14.25" customHeight="1">
      <c r="C123" s="9"/>
    </row>
    <row r="124" ht="14.25" customHeight="1">
      <c r="C124" s="9"/>
    </row>
    <row r="125" ht="14.25" customHeight="1">
      <c r="C125" s="9"/>
    </row>
    <row r="126" ht="14.25" customHeight="1">
      <c r="C126" s="9"/>
    </row>
    <row r="127" ht="14.25" customHeight="1">
      <c r="C127" s="9"/>
    </row>
    <row r="128" ht="14.25" customHeight="1">
      <c r="C128" s="9"/>
    </row>
    <row r="129" ht="14.25" customHeight="1">
      <c r="C129" s="9"/>
    </row>
    <row r="130" ht="14.25" customHeight="1">
      <c r="C130" s="9"/>
    </row>
    <row r="131" ht="14.25" customHeight="1">
      <c r="C131" s="9"/>
    </row>
    <row r="132" ht="14.25" customHeight="1">
      <c r="C132" s="9"/>
    </row>
    <row r="133" ht="14.25" customHeight="1">
      <c r="C133" s="9"/>
    </row>
    <row r="134" ht="14.25" customHeight="1">
      <c r="C134" s="9"/>
    </row>
    <row r="135" ht="14.25" customHeight="1">
      <c r="C135" s="9"/>
    </row>
    <row r="136" ht="14.25" customHeight="1">
      <c r="C136" s="9"/>
    </row>
    <row r="137" ht="14.25" customHeight="1">
      <c r="C137" s="9"/>
    </row>
    <row r="138" ht="14.25" customHeight="1">
      <c r="C138" s="9"/>
    </row>
    <row r="139" ht="14.25" customHeight="1">
      <c r="C139" s="9"/>
    </row>
    <row r="140" ht="14.25" customHeight="1">
      <c r="C140" s="9"/>
    </row>
    <row r="141" ht="14.25" customHeight="1">
      <c r="C141" s="9"/>
    </row>
    <row r="142" ht="14.25" customHeight="1">
      <c r="C142" s="9"/>
    </row>
    <row r="143" ht="14.25" customHeight="1">
      <c r="C143" s="9"/>
    </row>
    <row r="144" ht="14.25" customHeight="1">
      <c r="C144" s="9"/>
    </row>
    <row r="145" ht="14.25" customHeight="1">
      <c r="C145" s="9"/>
    </row>
    <row r="146" ht="14.25" customHeight="1">
      <c r="C146" s="9"/>
    </row>
    <row r="147" ht="14.25" customHeight="1">
      <c r="C147" s="9"/>
    </row>
    <row r="148" ht="14.25" customHeight="1">
      <c r="C148" s="9"/>
    </row>
    <row r="149" ht="14.25" customHeight="1">
      <c r="C149" s="9"/>
    </row>
    <row r="150" ht="14.25" customHeight="1">
      <c r="C150" s="9"/>
    </row>
    <row r="151" ht="14.25" customHeight="1">
      <c r="C151" s="9"/>
    </row>
    <row r="152" ht="14.25" customHeight="1">
      <c r="C152" s="9"/>
    </row>
    <row r="153" ht="14.25" customHeight="1">
      <c r="C153" s="9"/>
    </row>
    <row r="154" ht="14.25" customHeight="1">
      <c r="C154" s="9"/>
    </row>
    <row r="155" ht="14.25" customHeight="1">
      <c r="C155" s="9"/>
    </row>
    <row r="156" ht="14.25" customHeight="1">
      <c r="C156" s="9"/>
    </row>
    <row r="157" ht="14.25" customHeight="1">
      <c r="C157" s="9"/>
    </row>
    <row r="158" ht="14.25" customHeight="1">
      <c r="C158" s="9"/>
    </row>
    <row r="159" ht="14.25" customHeight="1">
      <c r="C159" s="9"/>
    </row>
    <row r="160" ht="14.25" customHeight="1">
      <c r="C160" s="9"/>
    </row>
    <row r="161" ht="14.25" customHeight="1">
      <c r="C161" s="9"/>
    </row>
    <row r="162" ht="14.25" customHeight="1">
      <c r="C162" s="9"/>
    </row>
    <row r="163" ht="14.25" customHeight="1">
      <c r="C163" s="9"/>
    </row>
    <row r="164" ht="14.25" customHeight="1">
      <c r="C164" s="9"/>
    </row>
    <row r="165" ht="14.25" customHeight="1">
      <c r="C165" s="9"/>
    </row>
    <row r="166" ht="14.25" customHeight="1">
      <c r="C166" s="9"/>
    </row>
    <row r="167" ht="14.25" customHeight="1">
      <c r="C167" s="9"/>
    </row>
    <row r="168" ht="14.25" customHeight="1">
      <c r="C168" s="9"/>
    </row>
    <row r="169" ht="14.25" customHeight="1">
      <c r="C169" s="9"/>
    </row>
    <row r="170" ht="14.25" customHeight="1">
      <c r="C170" s="9"/>
    </row>
    <row r="171" ht="14.25" customHeight="1">
      <c r="C171" s="9"/>
    </row>
    <row r="172" ht="14.25" customHeight="1">
      <c r="C172" s="9"/>
    </row>
    <row r="173" ht="14.25" customHeight="1">
      <c r="C173" s="9"/>
    </row>
    <row r="174" ht="14.25" customHeight="1">
      <c r="C174" s="9"/>
    </row>
    <row r="175" ht="14.25" customHeight="1">
      <c r="C175" s="9"/>
    </row>
    <row r="176" ht="14.25" customHeight="1">
      <c r="C176" s="9"/>
    </row>
    <row r="177" ht="14.25" customHeight="1">
      <c r="C177" s="9"/>
    </row>
    <row r="178" ht="14.25" customHeight="1">
      <c r="C178" s="9"/>
    </row>
    <row r="179" ht="14.25" customHeight="1">
      <c r="C179" s="9"/>
    </row>
    <row r="180" ht="14.25" customHeight="1">
      <c r="C180" s="9"/>
    </row>
    <row r="181" ht="14.25" customHeight="1">
      <c r="C181" s="9"/>
    </row>
    <row r="182" ht="14.25" customHeight="1">
      <c r="C182" s="9"/>
    </row>
    <row r="183" ht="14.25" customHeight="1">
      <c r="C183" s="9"/>
    </row>
    <row r="184" ht="14.25" customHeight="1">
      <c r="C184" s="9"/>
    </row>
    <row r="185" ht="14.25" customHeight="1">
      <c r="C185" s="9"/>
    </row>
    <row r="186" ht="14.25" customHeight="1">
      <c r="C186" s="9"/>
    </row>
    <row r="187" ht="14.25" customHeight="1">
      <c r="C187" s="9"/>
    </row>
    <row r="188" ht="14.25" customHeight="1">
      <c r="C188" s="9"/>
    </row>
    <row r="189" ht="14.25" customHeight="1">
      <c r="C189" s="9"/>
    </row>
    <row r="190" ht="14.25" customHeight="1">
      <c r="C190" s="9"/>
    </row>
    <row r="191" ht="14.25" customHeight="1">
      <c r="C191" s="9"/>
    </row>
    <row r="192" ht="14.25" customHeight="1">
      <c r="C192" s="9"/>
    </row>
    <row r="193" ht="14.25" customHeight="1">
      <c r="C193" s="9"/>
    </row>
    <row r="194" ht="14.25" customHeight="1">
      <c r="C194" s="9"/>
    </row>
    <row r="195" ht="14.25" customHeight="1">
      <c r="C195" s="9"/>
    </row>
    <row r="196" ht="14.25" customHeight="1">
      <c r="C196" s="9"/>
    </row>
    <row r="197" ht="14.25" customHeight="1">
      <c r="C197" s="9"/>
    </row>
    <row r="198" ht="14.25" customHeight="1">
      <c r="C198" s="9"/>
    </row>
    <row r="199" ht="14.25" customHeight="1">
      <c r="C199" s="9"/>
    </row>
    <row r="200" ht="14.25" customHeight="1">
      <c r="C200" s="9"/>
    </row>
    <row r="201" ht="14.25" customHeight="1">
      <c r="C201" s="9"/>
    </row>
    <row r="202" ht="14.25" customHeight="1">
      <c r="C202" s="9"/>
    </row>
    <row r="203" ht="14.25" customHeight="1">
      <c r="C203" s="9"/>
    </row>
    <row r="204" ht="14.25" customHeight="1">
      <c r="C204" s="9"/>
    </row>
    <row r="205" ht="14.25" customHeight="1">
      <c r="C205" s="9"/>
    </row>
    <row r="206" ht="14.25" customHeight="1">
      <c r="C206" s="9"/>
    </row>
    <row r="207" ht="14.25" customHeight="1">
      <c r="C207" s="9"/>
    </row>
    <row r="208" ht="14.25" customHeight="1">
      <c r="C208" s="9"/>
    </row>
    <row r="209" ht="14.25" customHeight="1">
      <c r="C209" s="9"/>
    </row>
    <row r="210" ht="14.25" customHeight="1">
      <c r="C210" s="9"/>
    </row>
    <row r="211" ht="14.25" customHeight="1">
      <c r="C211" s="9"/>
    </row>
    <row r="212" ht="14.25" customHeight="1">
      <c r="C212" s="9"/>
    </row>
    <row r="213" ht="14.25" customHeight="1">
      <c r="C213" s="9"/>
    </row>
    <row r="214" ht="14.25" customHeight="1">
      <c r="C214" s="9"/>
    </row>
    <row r="215" ht="14.25" customHeight="1">
      <c r="C215" s="9"/>
    </row>
    <row r="216" ht="14.25" customHeight="1">
      <c r="C216" s="9"/>
    </row>
    <row r="217" ht="14.25" customHeight="1">
      <c r="C217" s="9"/>
    </row>
    <row r="218" ht="14.25" customHeight="1">
      <c r="C218" s="9"/>
    </row>
    <row r="219" ht="14.25" customHeight="1">
      <c r="C219" s="9"/>
    </row>
    <row r="220" ht="14.25" customHeight="1">
      <c r="C220" s="9"/>
    </row>
    <row r="221" ht="14.25" customHeight="1">
      <c r="C221" s="9"/>
    </row>
    <row r="222" ht="14.25" customHeight="1">
      <c r="C222" s="9"/>
    </row>
    <row r="223" ht="14.25" customHeight="1">
      <c r="C223" s="9"/>
    </row>
    <row r="224" ht="14.25" customHeight="1">
      <c r="C224" s="9"/>
    </row>
    <row r="225" ht="14.25" customHeight="1">
      <c r="C225" s="9"/>
    </row>
    <row r="226" ht="14.25" customHeight="1">
      <c r="C226" s="9"/>
    </row>
    <row r="227" ht="14.25" customHeight="1">
      <c r="C227" s="9"/>
    </row>
    <row r="228" ht="14.25" customHeight="1">
      <c r="C228" s="9"/>
    </row>
    <row r="229" ht="14.25" customHeight="1">
      <c r="C229" s="9"/>
    </row>
    <row r="230" ht="14.25" customHeight="1">
      <c r="C230" s="9"/>
    </row>
    <row r="231" ht="14.25" customHeight="1">
      <c r="C231" s="9"/>
    </row>
    <row r="232" ht="14.25" customHeight="1">
      <c r="C232" s="9"/>
    </row>
    <row r="233" ht="14.25" customHeight="1">
      <c r="C233" s="9"/>
    </row>
    <row r="234" ht="14.25" customHeight="1">
      <c r="C234" s="9"/>
    </row>
    <row r="235" ht="14.25" customHeight="1">
      <c r="C235" s="9"/>
    </row>
    <row r="236" ht="14.25" customHeight="1">
      <c r="C236" s="9"/>
    </row>
    <row r="237" ht="14.25" customHeight="1">
      <c r="C237" s="9"/>
    </row>
    <row r="238" ht="14.25" customHeight="1">
      <c r="C238" s="9"/>
    </row>
    <row r="239" ht="14.25" customHeight="1">
      <c r="C239" s="9"/>
    </row>
    <row r="240" ht="14.25" customHeight="1">
      <c r="C240" s="9"/>
    </row>
    <row r="241" ht="14.25" customHeight="1">
      <c r="C241" s="9"/>
    </row>
    <row r="242" ht="14.25" customHeight="1">
      <c r="C242" s="9"/>
    </row>
    <row r="243" ht="14.25" customHeight="1">
      <c r="C243" s="9"/>
    </row>
    <row r="244" ht="14.25" customHeight="1">
      <c r="C244" s="9"/>
    </row>
    <row r="245" ht="14.25" customHeight="1">
      <c r="C245" s="9"/>
    </row>
    <row r="246" ht="14.25" customHeight="1">
      <c r="C246" s="9"/>
    </row>
    <row r="247" ht="14.25" customHeight="1">
      <c r="C247" s="9"/>
    </row>
    <row r="248" ht="14.25" customHeight="1">
      <c r="C248" s="9"/>
    </row>
    <row r="249" ht="14.25" customHeight="1">
      <c r="C249" s="9"/>
    </row>
    <row r="250" ht="14.25" customHeight="1">
      <c r="C250" s="9"/>
    </row>
    <row r="251" ht="14.25" customHeight="1">
      <c r="C251" s="9"/>
    </row>
    <row r="252" ht="14.25" customHeight="1">
      <c r="C252" s="9"/>
    </row>
    <row r="253" ht="14.25" customHeight="1">
      <c r="C253" s="9"/>
    </row>
    <row r="254" ht="14.25" customHeight="1">
      <c r="C254" s="9"/>
    </row>
    <row r="255" ht="14.25" customHeight="1">
      <c r="C255" s="9"/>
    </row>
    <row r="256" ht="14.25" customHeight="1">
      <c r="C256" s="9"/>
    </row>
    <row r="257" ht="14.25" customHeight="1">
      <c r="C257" s="9"/>
    </row>
    <row r="258" ht="14.25" customHeight="1">
      <c r="C258" s="9"/>
    </row>
    <row r="259" ht="14.25" customHeight="1">
      <c r="C259" s="9"/>
    </row>
    <row r="260" ht="14.25" customHeight="1">
      <c r="C260" s="9"/>
    </row>
    <row r="261" ht="14.25" customHeight="1">
      <c r="C261" s="9"/>
    </row>
    <row r="262" ht="14.25" customHeight="1">
      <c r="C262" s="9"/>
    </row>
    <row r="263" ht="14.25" customHeight="1">
      <c r="C263" s="9"/>
    </row>
    <row r="264" ht="14.25" customHeight="1">
      <c r="C264" s="9"/>
    </row>
    <row r="265" ht="14.25" customHeight="1">
      <c r="C265" s="9"/>
    </row>
    <row r="266" ht="14.25" customHeight="1">
      <c r="C266" s="9"/>
    </row>
    <row r="267" ht="14.25" customHeight="1">
      <c r="C267" s="9"/>
    </row>
    <row r="268" ht="14.25" customHeight="1">
      <c r="C268" s="9"/>
    </row>
    <row r="269" ht="14.25" customHeight="1">
      <c r="C269" s="9"/>
    </row>
    <row r="270" ht="14.25" customHeight="1">
      <c r="C270" s="9"/>
    </row>
    <row r="271" ht="14.25" customHeight="1">
      <c r="C271" s="9"/>
    </row>
    <row r="272" ht="14.25" customHeight="1">
      <c r="C272" s="9"/>
    </row>
    <row r="273" ht="14.25" customHeight="1">
      <c r="C273" s="9"/>
    </row>
    <row r="274" ht="14.25" customHeight="1">
      <c r="C274" s="9"/>
    </row>
    <row r="275" ht="14.25" customHeight="1">
      <c r="C275" s="9"/>
    </row>
    <row r="276" ht="14.25" customHeight="1">
      <c r="C276" s="9"/>
    </row>
    <row r="277" ht="14.25" customHeight="1">
      <c r="C277" s="9"/>
    </row>
    <row r="278" ht="14.25" customHeight="1">
      <c r="C278" s="9"/>
    </row>
    <row r="279" ht="14.25" customHeight="1">
      <c r="C279" s="9"/>
    </row>
    <row r="280" ht="14.25" customHeight="1">
      <c r="C280" s="9"/>
    </row>
    <row r="281" ht="14.25" customHeight="1">
      <c r="C281" s="9"/>
    </row>
    <row r="282" ht="14.25" customHeight="1">
      <c r="C282" s="9"/>
    </row>
    <row r="283" ht="14.25" customHeight="1">
      <c r="C283" s="9"/>
    </row>
    <row r="284" ht="14.25" customHeight="1">
      <c r="C284" s="9"/>
    </row>
    <row r="285" ht="14.25" customHeight="1">
      <c r="C285" s="9"/>
    </row>
    <row r="286" ht="14.25" customHeight="1">
      <c r="C286" s="9"/>
    </row>
    <row r="287" ht="14.25" customHeight="1">
      <c r="C287" s="9"/>
    </row>
    <row r="288" ht="14.25" customHeight="1">
      <c r="C288" s="9"/>
    </row>
    <row r="289" ht="14.25" customHeight="1">
      <c r="C289" s="9"/>
    </row>
    <row r="290" ht="14.25" customHeight="1">
      <c r="C290" s="9"/>
    </row>
    <row r="291" ht="14.25" customHeight="1">
      <c r="C291" s="9"/>
    </row>
    <row r="292" ht="14.25" customHeight="1">
      <c r="C292" s="9"/>
    </row>
    <row r="293" ht="14.25" customHeight="1">
      <c r="C293" s="9"/>
    </row>
    <row r="294" ht="14.25" customHeight="1">
      <c r="C294" s="9"/>
    </row>
    <row r="295" ht="14.25" customHeight="1">
      <c r="C295" s="9"/>
    </row>
    <row r="296" ht="14.25" customHeight="1">
      <c r="C296" s="9"/>
    </row>
    <row r="297" ht="14.25" customHeight="1">
      <c r="C297" s="9"/>
    </row>
    <row r="298" ht="14.25" customHeight="1">
      <c r="C298" s="9"/>
    </row>
    <row r="299" ht="14.25" customHeight="1">
      <c r="C299" s="9"/>
    </row>
    <row r="300" ht="14.25" customHeight="1">
      <c r="C300" s="9"/>
    </row>
    <row r="301" ht="14.25" customHeight="1">
      <c r="C301" s="9"/>
    </row>
    <row r="302" ht="14.25" customHeight="1">
      <c r="C302" s="9"/>
    </row>
    <row r="303" ht="14.25" customHeight="1">
      <c r="C303" s="9"/>
    </row>
    <row r="304" ht="14.25" customHeight="1">
      <c r="C304" s="9"/>
    </row>
    <row r="305" ht="14.25" customHeight="1">
      <c r="C305" s="9"/>
    </row>
    <row r="306" ht="14.25" customHeight="1">
      <c r="C306" s="9"/>
    </row>
    <row r="307" ht="14.25" customHeight="1">
      <c r="C307" s="9"/>
    </row>
    <row r="308" ht="14.25" customHeight="1">
      <c r="C308" s="9"/>
    </row>
    <row r="309" ht="14.25" customHeight="1">
      <c r="C309" s="9"/>
    </row>
    <row r="310" ht="14.25" customHeight="1">
      <c r="C310" s="9"/>
    </row>
    <row r="311" ht="14.25" customHeight="1">
      <c r="C311" s="9"/>
    </row>
    <row r="312" ht="14.25" customHeight="1">
      <c r="C312" s="9"/>
    </row>
    <row r="313" ht="14.25" customHeight="1">
      <c r="C313" s="9"/>
    </row>
    <row r="314" ht="14.25" customHeight="1">
      <c r="C314" s="9"/>
    </row>
    <row r="315" ht="14.25" customHeight="1">
      <c r="C315" s="9"/>
    </row>
    <row r="316" ht="14.25" customHeight="1">
      <c r="C316" s="9"/>
    </row>
    <row r="317" ht="14.25" customHeight="1">
      <c r="C317" s="9"/>
    </row>
    <row r="318" ht="14.25" customHeight="1">
      <c r="C318" s="9"/>
    </row>
    <row r="319" ht="14.25" customHeight="1">
      <c r="C319" s="9"/>
    </row>
    <row r="320" ht="14.25" customHeight="1">
      <c r="C320" s="9"/>
    </row>
    <row r="321" ht="14.25" customHeight="1">
      <c r="C321" s="9"/>
    </row>
    <row r="322" ht="14.25" customHeight="1">
      <c r="C322" s="9"/>
    </row>
    <row r="323" ht="14.25" customHeight="1">
      <c r="C323" s="9"/>
    </row>
    <row r="324" ht="14.25" customHeight="1">
      <c r="C324" s="9"/>
    </row>
    <row r="325" ht="14.25" customHeight="1">
      <c r="C325" s="9"/>
    </row>
    <row r="326" ht="14.25" customHeight="1">
      <c r="C326" s="9"/>
    </row>
    <row r="327" ht="14.25" customHeight="1">
      <c r="C327" s="9"/>
    </row>
    <row r="328" ht="14.25" customHeight="1">
      <c r="C328" s="9"/>
    </row>
    <row r="329" ht="14.25" customHeight="1">
      <c r="C329" s="9"/>
    </row>
    <row r="330" ht="14.25" customHeight="1">
      <c r="C330" s="9"/>
    </row>
    <row r="331" ht="14.25" customHeight="1">
      <c r="C331" s="9"/>
    </row>
    <row r="332" ht="14.25" customHeight="1">
      <c r="C332" s="9"/>
    </row>
    <row r="333" ht="14.25" customHeight="1">
      <c r="C333" s="9"/>
    </row>
    <row r="334" ht="14.25" customHeight="1">
      <c r="C334" s="9"/>
    </row>
    <row r="335" ht="14.25" customHeight="1">
      <c r="C335" s="9"/>
    </row>
    <row r="336" ht="14.25" customHeight="1">
      <c r="C336" s="9"/>
    </row>
    <row r="337" ht="14.25" customHeight="1">
      <c r="C337" s="9"/>
    </row>
    <row r="338" ht="14.25" customHeight="1">
      <c r="C338" s="9"/>
    </row>
    <row r="339" ht="14.25" customHeight="1">
      <c r="C339" s="9"/>
    </row>
    <row r="340" ht="14.25" customHeight="1">
      <c r="C340" s="9"/>
    </row>
    <row r="341" ht="14.25" customHeight="1">
      <c r="C341" s="9"/>
    </row>
    <row r="342" ht="14.25" customHeight="1">
      <c r="C342" s="9"/>
    </row>
    <row r="343" ht="14.25" customHeight="1">
      <c r="C343" s="9"/>
    </row>
    <row r="344" ht="14.25" customHeight="1">
      <c r="C344" s="9"/>
    </row>
    <row r="345" ht="14.25" customHeight="1">
      <c r="C345" s="9"/>
    </row>
    <row r="346" ht="14.25" customHeight="1">
      <c r="C346" s="9"/>
    </row>
    <row r="347" ht="14.25" customHeight="1">
      <c r="C347" s="9"/>
    </row>
    <row r="348" ht="14.25" customHeight="1">
      <c r="C348" s="9"/>
    </row>
    <row r="349" ht="14.25" customHeight="1">
      <c r="C349" s="9"/>
    </row>
    <row r="350" ht="14.25" customHeight="1">
      <c r="C350" s="9"/>
    </row>
    <row r="351" ht="14.25" customHeight="1">
      <c r="C351" s="9"/>
    </row>
    <row r="352" ht="14.25" customHeight="1">
      <c r="C352" s="9"/>
    </row>
    <row r="353" ht="14.25" customHeight="1">
      <c r="C353" s="9"/>
    </row>
    <row r="354" ht="14.25" customHeight="1">
      <c r="C354" s="9"/>
    </row>
    <row r="355" ht="14.25" customHeight="1">
      <c r="C355" s="9"/>
    </row>
    <row r="356" ht="14.25" customHeight="1">
      <c r="C356" s="9"/>
    </row>
    <row r="357" ht="14.25" customHeight="1">
      <c r="C357" s="9"/>
    </row>
    <row r="358" ht="14.25" customHeight="1">
      <c r="C358" s="9"/>
    </row>
    <row r="359" ht="14.25" customHeight="1">
      <c r="C359" s="9"/>
    </row>
    <row r="360" ht="14.25" customHeight="1">
      <c r="C360" s="9"/>
    </row>
    <row r="361" ht="14.25" customHeight="1">
      <c r="C361" s="9"/>
    </row>
    <row r="362" ht="14.25" customHeight="1">
      <c r="C362" s="9"/>
    </row>
    <row r="363" ht="14.25" customHeight="1">
      <c r="C363" s="9"/>
    </row>
    <row r="364" ht="14.25" customHeight="1">
      <c r="C364" s="9"/>
    </row>
    <row r="365" ht="14.25" customHeight="1">
      <c r="C365" s="9"/>
    </row>
    <row r="366" ht="14.25" customHeight="1">
      <c r="C366" s="9"/>
    </row>
    <row r="367" ht="14.25" customHeight="1">
      <c r="C367" s="9"/>
    </row>
    <row r="368" ht="14.25" customHeight="1">
      <c r="C368" s="9"/>
    </row>
    <row r="369" ht="14.25" customHeight="1">
      <c r="C369" s="9"/>
    </row>
    <row r="370" ht="14.25" customHeight="1">
      <c r="C370" s="9"/>
    </row>
    <row r="371" ht="14.25" customHeight="1">
      <c r="C371" s="9"/>
    </row>
    <row r="372" ht="14.25" customHeight="1">
      <c r="C372" s="9"/>
    </row>
    <row r="373" ht="14.25" customHeight="1">
      <c r="C373" s="9"/>
    </row>
    <row r="374" ht="14.25" customHeight="1">
      <c r="C374" s="9"/>
    </row>
    <row r="375" ht="14.25" customHeight="1">
      <c r="C375" s="9"/>
    </row>
    <row r="376" ht="14.25" customHeight="1">
      <c r="C376" s="9"/>
    </row>
    <row r="377" ht="14.25" customHeight="1">
      <c r="C377" s="9"/>
    </row>
    <row r="378" ht="14.25" customHeight="1">
      <c r="C378" s="9"/>
    </row>
    <row r="379" ht="14.25" customHeight="1">
      <c r="C379" s="9"/>
    </row>
    <row r="380" ht="14.25" customHeight="1">
      <c r="C380" s="9"/>
    </row>
    <row r="381" ht="14.25" customHeight="1">
      <c r="C381" s="9"/>
    </row>
    <row r="382" ht="14.25" customHeight="1">
      <c r="C382" s="9"/>
    </row>
    <row r="383" ht="14.25" customHeight="1">
      <c r="C383" s="9"/>
    </row>
    <row r="384" ht="14.25" customHeight="1">
      <c r="C384" s="9"/>
    </row>
    <row r="385" ht="14.25" customHeight="1">
      <c r="C385" s="9"/>
    </row>
    <row r="386" ht="14.25" customHeight="1">
      <c r="C386" s="9"/>
    </row>
    <row r="387" ht="14.25" customHeight="1">
      <c r="C387" s="9"/>
    </row>
    <row r="388" ht="14.25" customHeight="1">
      <c r="C388" s="9"/>
    </row>
    <row r="389" ht="14.25" customHeight="1">
      <c r="C389" s="9"/>
    </row>
    <row r="390" ht="14.25" customHeight="1">
      <c r="C390" s="9"/>
    </row>
    <row r="391" ht="14.25" customHeight="1">
      <c r="C391" s="9"/>
    </row>
    <row r="392" ht="14.25" customHeight="1">
      <c r="C392" s="9"/>
    </row>
    <row r="393" ht="14.25" customHeight="1">
      <c r="C393" s="9"/>
    </row>
    <row r="394" ht="14.25" customHeight="1">
      <c r="C394" s="9"/>
    </row>
    <row r="395" ht="14.25" customHeight="1">
      <c r="C395" s="9"/>
    </row>
    <row r="396" ht="14.25" customHeight="1">
      <c r="C396" s="9"/>
    </row>
    <row r="397" ht="14.25" customHeight="1">
      <c r="C397" s="9"/>
    </row>
    <row r="398" ht="14.25" customHeight="1">
      <c r="C398" s="9"/>
    </row>
    <row r="399" ht="14.25" customHeight="1">
      <c r="C399" s="9"/>
    </row>
    <row r="400" ht="14.25" customHeight="1">
      <c r="C400" s="9"/>
    </row>
    <row r="401" ht="14.25" customHeight="1">
      <c r="C401" s="9"/>
    </row>
    <row r="402" ht="14.25" customHeight="1">
      <c r="C402" s="9"/>
    </row>
    <row r="403" ht="14.25" customHeight="1">
      <c r="C403" s="9"/>
    </row>
    <row r="404" ht="14.25" customHeight="1">
      <c r="C404" s="9"/>
    </row>
    <row r="405" ht="14.25" customHeight="1">
      <c r="C405" s="9"/>
    </row>
    <row r="406" ht="14.25" customHeight="1">
      <c r="C406" s="9"/>
    </row>
    <row r="407" ht="14.25" customHeight="1">
      <c r="C407" s="9"/>
    </row>
    <row r="408" ht="14.25" customHeight="1">
      <c r="C408" s="9"/>
    </row>
    <row r="409" ht="14.25" customHeight="1">
      <c r="C409" s="9"/>
    </row>
    <row r="410" ht="14.25" customHeight="1">
      <c r="C410" s="9"/>
    </row>
    <row r="411" ht="14.25" customHeight="1">
      <c r="C411" s="9"/>
    </row>
    <row r="412" ht="14.25" customHeight="1">
      <c r="C412" s="9"/>
    </row>
    <row r="413" ht="14.25" customHeight="1">
      <c r="C413" s="9"/>
    </row>
    <row r="414" ht="14.25" customHeight="1">
      <c r="C414" s="9"/>
    </row>
    <row r="415" ht="14.25" customHeight="1">
      <c r="C415" s="9"/>
    </row>
    <row r="416" ht="14.25" customHeight="1">
      <c r="C416" s="9"/>
    </row>
    <row r="417" ht="14.25" customHeight="1">
      <c r="C417" s="9"/>
    </row>
    <row r="418" ht="14.25" customHeight="1">
      <c r="C418" s="9"/>
    </row>
    <row r="419" ht="14.25" customHeight="1">
      <c r="C419" s="9"/>
    </row>
    <row r="420" ht="14.25" customHeight="1">
      <c r="C420" s="9"/>
    </row>
    <row r="421" ht="14.25" customHeight="1">
      <c r="C421" s="9"/>
    </row>
    <row r="422" ht="14.25" customHeight="1">
      <c r="C422" s="9"/>
    </row>
    <row r="423" ht="14.25" customHeight="1">
      <c r="C423" s="9"/>
    </row>
    <row r="424" ht="14.25" customHeight="1">
      <c r="C424" s="9"/>
    </row>
    <row r="425" ht="14.25" customHeight="1">
      <c r="C425" s="9"/>
    </row>
    <row r="426" ht="14.25" customHeight="1">
      <c r="C426" s="9"/>
    </row>
    <row r="427" ht="14.25" customHeight="1">
      <c r="C427" s="9"/>
    </row>
    <row r="428" ht="14.25" customHeight="1">
      <c r="C428" s="9"/>
    </row>
    <row r="429" ht="14.25" customHeight="1">
      <c r="C429" s="9"/>
    </row>
    <row r="430" ht="14.25" customHeight="1">
      <c r="C430" s="9"/>
    </row>
    <row r="431" ht="14.25" customHeight="1">
      <c r="C431" s="9"/>
    </row>
    <row r="432" ht="14.25" customHeight="1">
      <c r="C432" s="9"/>
    </row>
    <row r="433" ht="14.25" customHeight="1">
      <c r="C433" s="9"/>
    </row>
    <row r="434" ht="14.25" customHeight="1">
      <c r="C434" s="9"/>
    </row>
    <row r="435" ht="14.25" customHeight="1">
      <c r="C435" s="9"/>
    </row>
    <row r="436" ht="14.25" customHeight="1">
      <c r="C436" s="9"/>
    </row>
    <row r="437" ht="14.25" customHeight="1">
      <c r="C437" s="9"/>
    </row>
    <row r="438" ht="14.25" customHeight="1">
      <c r="C438" s="9"/>
    </row>
    <row r="439" ht="14.25" customHeight="1">
      <c r="C439" s="9"/>
    </row>
    <row r="440" ht="14.25" customHeight="1">
      <c r="C440" s="9"/>
    </row>
    <row r="441" ht="14.25" customHeight="1">
      <c r="C441" s="9"/>
    </row>
    <row r="442" ht="14.25" customHeight="1">
      <c r="C442" s="9"/>
    </row>
    <row r="443" ht="14.25" customHeight="1">
      <c r="C443" s="9"/>
    </row>
    <row r="444" ht="14.25" customHeight="1">
      <c r="C444" s="9"/>
    </row>
    <row r="445" ht="14.25" customHeight="1">
      <c r="C445" s="9"/>
    </row>
    <row r="446" ht="14.25" customHeight="1">
      <c r="C446" s="9"/>
    </row>
    <row r="447" ht="14.25" customHeight="1">
      <c r="C447" s="9"/>
    </row>
    <row r="448" ht="14.25" customHeight="1">
      <c r="C448" s="9"/>
    </row>
    <row r="449" ht="14.25" customHeight="1">
      <c r="C449" s="9"/>
    </row>
    <row r="450" ht="14.25" customHeight="1">
      <c r="C450" s="9"/>
    </row>
    <row r="451" ht="14.25" customHeight="1">
      <c r="C451" s="9"/>
    </row>
    <row r="452" ht="14.25" customHeight="1">
      <c r="C452" s="9"/>
    </row>
    <row r="453" ht="14.25" customHeight="1">
      <c r="C453" s="9"/>
    </row>
    <row r="454" ht="14.25" customHeight="1">
      <c r="C454" s="9"/>
    </row>
    <row r="455" ht="14.25" customHeight="1">
      <c r="C455" s="9"/>
    </row>
    <row r="456" ht="14.25" customHeight="1">
      <c r="C456" s="9"/>
    </row>
    <row r="457" ht="14.25" customHeight="1">
      <c r="C457" s="9"/>
    </row>
    <row r="458" ht="14.25" customHeight="1">
      <c r="C458" s="9"/>
    </row>
    <row r="459" ht="14.25" customHeight="1">
      <c r="C459" s="9"/>
    </row>
    <row r="460" ht="14.25" customHeight="1">
      <c r="C460" s="9"/>
    </row>
    <row r="461" ht="14.25" customHeight="1">
      <c r="C461" s="9"/>
    </row>
    <row r="462" ht="14.25" customHeight="1">
      <c r="C462" s="9"/>
    </row>
    <row r="463" ht="14.25" customHeight="1">
      <c r="C463" s="9"/>
    </row>
    <row r="464" ht="14.25" customHeight="1">
      <c r="C464" s="9"/>
    </row>
    <row r="465" ht="14.25" customHeight="1">
      <c r="C465" s="9"/>
    </row>
    <row r="466" ht="14.25" customHeight="1">
      <c r="C466" s="9"/>
    </row>
    <row r="467" ht="14.25" customHeight="1">
      <c r="C467" s="9"/>
    </row>
    <row r="468" ht="14.25" customHeight="1">
      <c r="C468" s="9"/>
    </row>
    <row r="469" ht="14.25" customHeight="1">
      <c r="C469" s="9"/>
    </row>
    <row r="470" ht="14.25" customHeight="1">
      <c r="C470" s="9"/>
    </row>
    <row r="471" ht="14.25" customHeight="1">
      <c r="C471" s="9"/>
    </row>
    <row r="472" ht="14.25" customHeight="1">
      <c r="C472" s="9"/>
    </row>
    <row r="473" ht="14.25" customHeight="1">
      <c r="C473" s="9"/>
    </row>
    <row r="474" ht="14.25" customHeight="1">
      <c r="C474" s="9"/>
    </row>
    <row r="475" ht="14.25" customHeight="1">
      <c r="C475" s="9"/>
    </row>
    <row r="476" ht="14.25" customHeight="1">
      <c r="C476" s="9"/>
    </row>
    <row r="477" ht="14.25" customHeight="1">
      <c r="C477" s="9"/>
    </row>
    <row r="478" ht="14.25" customHeight="1">
      <c r="C478" s="9"/>
    </row>
    <row r="479" ht="14.25" customHeight="1">
      <c r="C479" s="9"/>
    </row>
    <row r="480" ht="14.25" customHeight="1">
      <c r="C480" s="9"/>
    </row>
    <row r="481" ht="14.25" customHeight="1">
      <c r="C481" s="9"/>
    </row>
    <row r="482" ht="14.25" customHeight="1">
      <c r="C482" s="9"/>
    </row>
    <row r="483" ht="14.25" customHeight="1">
      <c r="C483" s="9"/>
    </row>
    <row r="484" ht="14.25" customHeight="1">
      <c r="C484" s="9"/>
    </row>
    <row r="485" ht="14.25" customHeight="1">
      <c r="C485" s="9"/>
    </row>
    <row r="486" ht="14.25" customHeight="1">
      <c r="C486" s="9"/>
    </row>
    <row r="487" ht="14.25" customHeight="1">
      <c r="C487" s="9"/>
    </row>
    <row r="488" ht="14.25" customHeight="1">
      <c r="C488" s="9"/>
    </row>
    <row r="489" ht="14.25" customHeight="1">
      <c r="C489" s="9"/>
    </row>
    <row r="490" ht="14.25" customHeight="1">
      <c r="C490" s="9"/>
    </row>
    <row r="491" ht="14.25" customHeight="1">
      <c r="C491" s="9"/>
    </row>
    <row r="492" ht="14.25" customHeight="1">
      <c r="C492" s="9"/>
    </row>
    <row r="493" ht="14.25" customHeight="1">
      <c r="C493" s="9"/>
    </row>
    <row r="494" ht="14.25" customHeight="1">
      <c r="C494" s="9"/>
    </row>
    <row r="495" ht="14.25" customHeight="1">
      <c r="C495" s="9"/>
    </row>
    <row r="496" ht="14.25" customHeight="1">
      <c r="C496" s="9"/>
    </row>
    <row r="497" ht="14.25" customHeight="1">
      <c r="C497" s="9"/>
    </row>
    <row r="498" ht="14.25" customHeight="1">
      <c r="C498" s="9"/>
    </row>
    <row r="499" ht="14.25" customHeight="1">
      <c r="C499" s="9"/>
    </row>
    <row r="500" ht="14.25" customHeight="1">
      <c r="C500" s="9"/>
    </row>
    <row r="501" ht="14.25" customHeight="1">
      <c r="C501" s="9"/>
    </row>
    <row r="502" ht="14.25" customHeight="1">
      <c r="C502" s="9"/>
    </row>
    <row r="503" ht="14.25" customHeight="1">
      <c r="C503" s="9"/>
    </row>
    <row r="504" ht="14.25" customHeight="1">
      <c r="C504" s="9"/>
    </row>
    <row r="505" ht="14.25" customHeight="1">
      <c r="C505" s="9"/>
    </row>
    <row r="506" ht="14.25" customHeight="1">
      <c r="C506" s="9"/>
    </row>
    <row r="507" ht="14.25" customHeight="1">
      <c r="C507" s="9"/>
    </row>
    <row r="508" ht="14.25" customHeight="1">
      <c r="C508" s="9"/>
    </row>
    <row r="509" ht="14.25" customHeight="1">
      <c r="C509" s="9"/>
    </row>
    <row r="510" ht="14.25" customHeight="1">
      <c r="C510" s="9"/>
    </row>
    <row r="511" ht="14.25" customHeight="1">
      <c r="C511" s="9"/>
    </row>
    <row r="512" ht="14.25" customHeight="1">
      <c r="C512" s="9"/>
    </row>
    <row r="513" ht="14.25" customHeight="1">
      <c r="C513" s="9"/>
    </row>
    <row r="514" ht="14.25" customHeight="1">
      <c r="C514" s="9"/>
    </row>
    <row r="515" ht="14.25" customHeight="1">
      <c r="C515" s="9"/>
    </row>
    <row r="516" ht="14.25" customHeight="1">
      <c r="C516" s="9"/>
    </row>
    <row r="517" ht="14.25" customHeight="1">
      <c r="C517" s="9"/>
    </row>
    <row r="518" ht="14.25" customHeight="1">
      <c r="C518" s="9"/>
    </row>
    <row r="519" ht="14.25" customHeight="1">
      <c r="C519" s="9"/>
    </row>
    <row r="520" ht="14.25" customHeight="1">
      <c r="C520" s="9"/>
    </row>
    <row r="521" ht="14.25" customHeight="1">
      <c r="C521" s="9"/>
    </row>
    <row r="522" ht="14.25" customHeight="1">
      <c r="C522" s="9"/>
    </row>
    <row r="523" ht="14.25" customHeight="1">
      <c r="C523" s="9"/>
    </row>
    <row r="524" ht="14.25" customHeight="1">
      <c r="C524" s="9"/>
    </row>
    <row r="525" ht="14.25" customHeight="1">
      <c r="C525" s="9"/>
    </row>
    <row r="526" ht="14.25" customHeight="1">
      <c r="C526" s="9"/>
    </row>
    <row r="527" ht="14.25" customHeight="1">
      <c r="C527" s="9"/>
    </row>
    <row r="528" ht="14.25" customHeight="1">
      <c r="C528" s="9"/>
    </row>
    <row r="529" ht="14.25" customHeight="1">
      <c r="C529" s="9"/>
    </row>
    <row r="530" ht="14.25" customHeight="1">
      <c r="C530" s="9"/>
    </row>
    <row r="531" ht="14.25" customHeight="1">
      <c r="C531" s="9"/>
    </row>
    <row r="532" ht="14.25" customHeight="1">
      <c r="C532" s="9"/>
    </row>
    <row r="533" ht="14.25" customHeight="1">
      <c r="C533" s="9"/>
    </row>
    <row r="534" ht="14.25" customHeight="1">
      <c r="C534" s="9"/>
    </row>
    <row r="535" ht="14.25" customHeight="1">
      <c r="C535" s="9"/>
    </row>
    <row r="536" ht="14.25" customHeight="1">
      <c r="C536" s="9"/>
    </row>
    <row r="537" ht="14.25" customHeight="1">
      <c r="C537" s="9"/>
    </row>
    <row r="538" ht="14.25" customHeight="1">
      <c r="C538" s="9"/>
    </row>
    <row r="539" ht="14.25" customHeight="1">
      <c r="C539" s="9"/>
    </row>
    <row r="540" ht="14.25" customHeight="1">
      <c r="C540" s="9"/>
    </row>
    <row r="541" ht="14.25" customHeight="1">
      <c r="C541" s="9"/>
    </row>
    <row r="542" ht="14.25" customHeight="1">
      <c r="C542" s="9"/>
    </row>
    <row r="543" ht="14.25" customHeight="1">
      <c r="C543" s="9"/>
    </row>
    <row r="544" ht="14.25" customHeight="1">
      <c r="C544" s="9"/>
    </row>
    <row r="545" ht="14.25" customHeight="1">
      <c r="C545" s="9"/>
    </row>
    <row r="546" ht="14.25" customHeight="1">
      <c r="C546" s="9"/>
    </row>
    <row r="547" ht="14.25" customHeight="1">
      <c r="C547" s="9"/>
    </row>
    <row r="548" ht="14.25" customHeight="1">
      <c r="C548" s="9"/>
    </row>
    <row r="549" ht="14.25" customHeight="1">
      <c r="C549" s="9"/>
    </row>
    <row r="550" ht="14.25" customHeight="1">
      <c r="C550" s="9"/>
    </row>
    <row r="551" ht="14.25" customHeight="1">
      <c r="C551" s="9"/>
    </row>
    <row r="552" ht="14.25" customHeight="1">
      <c r="C552" s="9"/>
    </row>
    <row r="553" ht="14.25" customHeight="1">
      <c r="C553" s="9"/>
    </row>
    <row r="554" ht="14.25" customHeight="1">
      <c r="C554" s="9"/>
    </row>
    <row r="555" ht="14.25" customHeight="1">
      <c r="C555" s="9"/>
    </row>
    <row r="556" ht="14.25" customHeight="1">
      <c r="C556" s="9"/>
    </row>
    <row r="557" ht="14.25" customHeight="1">
      <c r="C557" s="9"/>
    </row>
    <row r="558" ht="14.25" customHeight="1">
      <c r="C558" s="9"/>
    </row>
    <row r="559" ht="14.25" customHeight="1">
      <c r="C559" s="9"/>
    </row>
    <row r="560" ht="14.25" customHeight="1">
      <c r="C560" s="9"/>
    </row>
    <row r="561" ht="14.25" customHeight="1">
      <c r="C561" s="9"/>
    </row>
    <row r="562" ht="14.25" customHeight="1">
      <c r="C562" s="9"/>
    </row>
    <row r="563" ht="14.25" customHeight="1">
      <c r="C563" s="9"/>
    </row>
    <row r="564" ht="14.25" customHeight="1">
      <c r="C564" s="9"/>
    </row>
    <row r="565" ht="14.25" customHeight="1">
      <c r="C565" s="9"/>
    </row>
    <row r="566" ht="14.25" customHeight="1">
      <c r="C566" s="9"/>
    </row>
    <row r="567" ht="14.25" customHeight="1">
      <c r="C567" s="9"/>
    </row>
    <row r="568" ht="14.25" customHeight="1">
      <c r="C568" s="9"/>
    </row>
    <row r="569" ht="14.25" customHeight="1">
      <c r="C569" s="9"/>
    </row>
    <row r="570" ht="14.25" customHeight="1">
      <c r="C570" s="9"/>
    </row>
    <row r="571" ht="14.25" customHeight="1">
      <c r="C571" s="9"/>
    </row>
    <row r="572" ht="14.25" customHeight="1">
      <c r="C572" s="9"/>
    </row>
    <row r="573" ht="14.25" customHeight="1">
      <c r="C573" s="9"/>
    </row>
    <row r="574" ht="14.25" customHeight="1">
      <c r="C574" s="9"/>
    </row>
    <row r="575" ht="14.25" customHeight="1">
      <c r="C575" s="9"/>
    </row>
    <row r="576" ht="14.25" customHeight="1">
      <c r="C576" s="9"/>
    </row>
    <row r="577" ht="14.25" customHeight="1">
      <c r="C577" s="9"/>
    </row>
    <row r="578" ht="14.25" customHeight="1">
      <c r="C578" s="9"/>
    </row>
    <row r="579" ht="14.25" customHeight="1">
      <c r="C579" s="9"/>
    </row>
    <row r="580" ht="14.25" customHeight="1">
      <c r="C580" s="9"/>
    </row>
    <row r="581" ht="14.25" customHeight="1">
      <c r="C581" s="9"/>
    </row>
    <row r="582" ht="14.25" customHeight="1">
      <c r="C582" s="9"/>
    </row>
    <row r="583" ht="14.25" customHeight="1">
      <c r="C583" s="9"/>
    </row>
    <row r="584" ht="14.25" customHeight="1">
      <c r="C584" s="9"/>
    </row>
    <row r="585" ht="14.25" customHeight="1">
      <c r="C585" s="9"/>
    </row>
    <row r="586" ht="14.25" customHeight="1">
      <c r="C586" s="9"/>
    </row>
    <row r="587" ht="14.25" customHeight="1">
      <c r="C587" s="9"/>
    </row>
    <row r="588" ht="14.25" customHeight="1">
      <c r="C588" s="9"/>
    </row>
    <row r="589" ht="14.25" customHeight="1">
      <c r="C589" s="9"/>
    </row>
    <row r="590" ht="14.25" customHeight="1">
      <c r="C590" s="9"/>
    </row>
    <row r="591" ht="14.25" customHeight="1">
      <c r="C591" s="9"/>
    </row>
    <row r="592" ht="14.25" customHeight="1">
      <c r="C592" s="9"/>
    </row>
    <row r="593" ht="14.25" customHeight="1">
      <c r="C593" s="9"/>
    </row>
    <row r="594" ht="14.25" customHeight="1">
      <c r="C594" s="9"/>
    </row>
    <row r="595" ht="14.25" customHeight="1">
      <c r="C595" s="9"/>
    </row>
    <row r="596" ht="14.25" customHeight="1">
      <c r="C596" s="9"/>
    </row>
    <row r="597" ht="14.25" customHeight="1">
      <c r="C597" s="9"/>
    </row>
    <row r="598" ht="14.25" customHeight="1">
      <c r="C598" s="9"/>
    </row>
    <row r="599" ht="14.25" customHeight="1">
      <c r="C599" s="9"/>
    </row>
    <row r="600" ht="14.25" customHeight="1">
      <c r="C600" s="9"/>
    </row>
    <row r="601" ht="14.25" customHeight="1">
      <c r="C601" s="9"/>
    </row>
    <row r="602" ht="14.25" customHeight="1">
      <c r="C602" s="9"/>
    </row>
    <row r="603" ht="14.25" customHeight="1">
      <c r="C603" s="9"/>
    </row>
    <row r="604" ht="14.25" customHeight="1">
      <c r="C604" s="9"/>
    </row>
    <row r="605" ht="14.25" customHeight="1">
      <c r="C605" s="9"/>
    </row>
    <row r="606" ht="14.25" customHeight="1">
      <c r="C606" s="9"/>
    </row>
    <row r="607" ht="14.25" customHeight="1">
      <c r="C607" s="9"/>
    </row>
    <row r="608" ht="14.25" customHeight="1">
      <c r="C608" s="9"/>
    </row>
    <row r="609" ht="14.25" customHeight="1">
      <c r="C609" s="9"/>
    </row>
    <row r="610" ht="14.25" customHeight="1">
      <c r="C610" s="9"/>
    </row>
    <row r="611" ht="14.25" customHeight="1">
      <c r="C611" s="9"/>
    </row>
    <row r="612" ht="14.25" customHeight="1">
      <c r="C612" s="9"/>
    </row>
    <row r="613" ht="14.25" customHeight="1">
      <c r="C613" s="9"/>
    </row>
    <row r="614" ht="14.25" customHeight="1">
      <c r="C614" s="9"/>
    </row>
    <row r="615" ht="14.25" customHeight="1">
      <c r="C615" s="9"/>
    </row>
    <row r="616" ht="14.25" customHeight="1">
      <c r="C616" s="9"/>
    </row>
    <row r="617" ht="14.25" customHeight="1">
      <c r="C617" s="9"/>
    </row>
    <row r="618" ht="14.25" customHeight="1">
      <c r="C618" s="9"/>
    </row>
    <row r="619" ht="14.25" customHeight="1">
      <c r="C619" s="9"/>
    </row>
    <row r="620" ht="14.25" customHeight="1">
      <c r="C620" s="9"/>
    </row>
    <row r="621" ht="14.25" customHeight="1">
      <c r="C621" s="9"/>
    </row>
    <row r="622" ht="14.25" customHeight="1">
      <c r="C622" s="9"/>
    </row>
    <row r="623" ht="14.25" customHeight="1">
      <c r="C623" s="9"/>
    </row>
    <row r="624" ht="14.25" customHeight="1">
      <c r="C624" s="9"/>
    </row>
    <row r="625" ht="14.25" customHeight="1">
      <c r="C625" s="9"/>
    </row>
    <row r="626" ht="14.25" customHeight="1">
      <c r="C626" s="9"/>
    </row>
    <row r="627" ht="14.25" customHeight="1">
      <c r="C627" s="9"/>
    </row>
    <row r="628" ht="14.25" customHeight="1">
      <c r="C628" s="9"/>
    </row>
    <row r="629" ht="14.25" customHeight="1">
      <c r="C629" s="9"/>
    </row>
    <row r="630" ht="14.25" customHeight="1">
      <c r="C630" s="9"/>
    </row>
    <row r="631" ht="14.25" customHeight="1">
      <c r="C631" s="9"/>
    </row>
    <row r="632" ht="14.25" customHeight="1">
      <c r="C632" s="9"/>
    </row>
    <row r="633" ht="14.25" customHeight="1">
      <c r="C633" s="9"/>
    </row>
    <row r="634" ht="14.25" customHeight="1">
      <c r="C634" s="9"/>
    </row>
    <row r="635" ht="14.25" customHeight="1">
      <c r="C635" s="9"/>
    </row>
    <row r="636" ht="14.25" customHeight="1">
      <c r="C636" s="9"/>
    </row>
    <row r="637" ht="14.25" customHeight="1">
      <c r="C637" s="9"/>
    </row>
    <row r="638" ht="14.25" customHeight="1">
      <c r="C638" s="9"/>
    </row>
    <row r="639" ht="14.25" customHeight="1">
      <c r="C639" s="9"/>
    </row>
    <row r="640" ht="14.25" customHeight="1">
      <c r="C640" s="9"/>
    </row>
    <row r="641" ht="14.25" customHeight="1">
      <c r="C641" s="9"/>
    </row>
    <row r="642" ht="14.25" customHeight="1">
      <c r="C642" s="9"/>
    </row>
    <row r="643" ht="14.25" customHeight="1">
      <c r="C643" s="9"/>
    </row>
    <row r="644" ht="14.25" customHeight="1">
      <c r="C644" s="9"/>
    </row>
    <row r="645" ht="14.25" customHeight="1">
      <c r="C645" s="9"/>
    </row>
    <row r="646" ht="14.25" customHeight="1">
      <c r="C646" s="9"/>
    </row>
    <row r="647" ht="14.25" customHeight="1">
      <c r="C647" s="9"/>
    </row>
    <row r="648" ht="14.25" customHeight="1">
      <c r="C648" s="9"/>
    </row>
    <row r="649" ht="14.25" customHeight="1">
      <c r="C649" s="9"/>
    </row>
    <row r="650" ht="14.25" customHeight="1">
      <c r="C650" s="9"/>
    </row>
    <row r="651" ht="14.25" customHeight="1">
      <c r="C651" s="9"/>
    </row>
    <row r="652" ht="14.25" customHeight="1">
      <c r="C652" s="9"/>
    </row>
    <row r="653" ht="14.25" customHeight="1">
      <c r="C653" s="9"/>
    </row>
    <row r="654" ht="14.25" customHeight="1">
      <c r="C654" s="9"/>
    </row>
    <row r="655" ht="14.25" customHeight="1">
      <c r="C655" s="9"/>
    </row>
    <row r="656" ht="14.25" customHeight="1">
      <c r="C656" s="9"/>
    </row>
    <row r="657" ht="14.25" customHeight="1">
      <c r="C657" s="9"/>
    </row>
    <row r="658" ht="14.25" customHeight="1">
      <c r="C658" s="9"/>
    </row>
    <row r="659" ht="14.25" customHeight="1">
      <c r="C659" s="9"/>
    </row>
    <row r="660" ht="14.25" customHeight="1">
      <c r="C660" s="9"/>
    </row>
    <row r="661" ht="14.25" customHeight="1">
      <c r="C661" s="9"/>
    </row>
    <row r="662" ht="14.25" customHeight="1">
      <c r="C662" s="9"/>
    </row>
    <row r="663" ht="14.25" customHeight="1">
      <c r="C663" s="9"/>
    </row>
    <row r="664" ht="14.25" customHeight="1">
      <c r="C664" s="9"/>
    </row>
    <row r="665" ht="14.25" customHeight="1">
      <c r="C665" s="9"/>
    </row>
    <row r="666" ht="14.25" customHeight="1">
      <c r="C666" s="9"/>
    </row>
    <row r="667" ht="14.25" customHeight="1">
      <c r="C667" s="9"/>
    </row>
    <row r="668" ht="14.25" customHeight="1">
      <c r="C668" s="9"/>
    </row>
    <row r="669" ht="14.25" customHeight="1">
      <c r="C669" s="9"/>
    </row>
    <row r="670" ht="14.25" customHeight="1">
      <c r="C670" s="9"/>
    </row>
    <row r="671" ht="14.25" customHeight="1">
      <c r="C671" s="9"/>
    </row>
    <row r="672" ht="14.25" customHeight="1">
      <c r="C672" s="9"/>
    </row>
    <row r="673" ht="14.25" customHeight="1">
      <c r="C673" s="9"/>
    </row>
    <row r="674" ht="14.25" customHeight="1">
      <c r="C674" s="9"/>
    </row>
    <row r="675" ht="14.25" customHeight="1">
      <c r="C675" s="9"/>
    </row>
    <row r="676" ht="14.25" customHeight="1">
      <c r="C676" s="9"/>
    </row>
    <row r="677" ht="14.25" customHeight="1">
      <c r="C677" s="9"/>
    </row>
    <row r="678" ht="14.25" customHeight="1">
      <c r="C678" s="9"/>
    </row>
    <row r="679" ht="14.25" customHeight="1">
      <c r="C679" s="9"/>
    </row>
    <row r="680" ht="14.25" customHeight="1">
      <c r="C680" s="9"/>
    </row>
    <row r="681" ht="14.25" customHeight="1">
      <c r="C681" s="9"/>
    </row>
    <row r="682" ht="14.25" customHeight="1">
      <c r="C682" s="9"/>
    </row>
    <row r="683" ht="14.25" customHeight="1">
      <c r="C683" s="9"/>
    </row>
    <row r="684" ht="14.25" customHeight="1">
      <c r="C684" s="9"/>
    </row>
    <row r="685" ht="14.25" customHeight="1">
      <c r="C685" s="9"/>
    </row>
    <row r="686" ht="14.25" customHeight="1">
      <c r="C686" s="9"/>
    </row>
    <row r="687" ht="14.25" customHeight="1">
      <c r="C687" s="9"/>
    </row>
    <row r="688" ht="14.25" customHeight="1">
      <c r="C688" s="9"/>
    </row>
    <row r="689" ht="14.25" customHeight="1">
      <c r="C689" s="9"/>
    </row>
    <row r="690" ht="14.25" customHeight="1">
      <c r="C690" s="9"/>
    </row>
    <row r="691" ht="14.25" customHeight="1">
      <c r="C691" s="9"/>
    </row>
    <row r="692" ht="14.25" customHeight="1">
      <c r="C692" s="9"/>
    </row>
    <row r="693" ht="14.25" customHeight="1">
      <c r="C693" s="9"/>
    </row>
    <row r="694" ht="14.25" customHeight="1">
      <c r="C694" s="9"/>
    </row>
    <row r="695" ht="14.25" customHeight="1">
      <c r="C695" s="9"/>
    </row>
    <row r="696" ht="14.25" customHeight="1">
      <c r="C696" s="9"/>
    </row>
    <row r="697" ht="14.25" customHeight="1">
      <c r="C697" s="9"/>
    </row>
    <row r="698" ht="14.25" customHeight="1">
      <c r="C698" s="9"/>
    </row>
    <row r="699" ht="14.25" customHeight="1">
      <c r="C699" s="9"/>
    </row>
    <row r="700" ht="14.25" customHeight="1">
      <c r="C700" s="9"/>
    </row>
    <row r="701" ht="14.25" customHeight="1">
      <c r="C701" s="9"/>
    </row>
    <row r="702" ht="14.25" customHeight="1">
      <c r="C702" s="9"/>
    </row>
    <row r="703" ht="14.25" customHeight="1">
      <c r="C703" s="9"/>
    </row>
    <row r="704" ht="14.25" customHeight="1">
      <c r="C704" s="9"/>
    </row>
    <row r="705" ht="14.25" customHeight="1">
      <c r="C705" s="9"/>
    </row>
    <row r="706" ht="14.25" customHeight="1">
      <c r="C706" s="9"/>
    </row>
    <row r="707" ht="14.25" customHeight="1">
      <c r="C707" s="9"/>
    </row>
    <row r="708" ht="14.25" customHeight="1">
      <c r="C708" s="9"/>
    </row>
    <row r="709" ht="14.25" customHeight="1">
      <c r="C709" s="9"/>
    </row>
    <row r="710" ht="14.25" customHeight="1">
      <c r="C710" s="9"/>
    </row>
    <row r="711" ht="14.25" customHeight="1">
      <c r="C711" s="9"/>
    </row>
    <row r="712" ht="14.25" customHeight="1">
      <c r="C712" s="9"/>
    </row>
    <row r="713" ht="14.25" customHeight="1">
      <c r="C713" s="9"/>
    </row>
    <row r="714" ht="14.25" customHeight="1">
      <c r="C714" s="9"/>
    </row>
    <row r="715" ht="14.25" customHeight="1">
      <c r="C715" s="9"/>
    </row>
    <row r="716" ht="14.25" customHeight="1">
      <c r="C716" s="9"/>
    </row>
    <row r="717" ht="14.25" customHeight="1">
      <c r="C717" s="9"/>
    </row>
    <row r="718" ht="14.25" customHeight="1">
      <c r="C718" s="9"/>
    </row>
    <row r="719" ht="14.25" customHeight="1">
      <c r="C719" s="9"/>
    </row>
    <row r="720" ht="14.25" customHeight="1">
      <c r="C720" s="9"/>
    </row>
    <row r="721" ht="14.25" customHeight="1">
      <c r="C721" s="9"/>
    </row>
    <row r="722" ht="14.25" customHeight="1">
      <c r="C722" s="9"/>
    </row>
    <row r="723" ht="14.25" customHeight="1">
      <c r="C723" s="9"/>
    </row>
    <row r="724" ht="14.25" customHeight="1">
      <c r="C724" s="9"/>
    </row>
    <row r="725" ht="14.25" customHeight="1">
      <c r="C725" s="9"/>
    </row>
    <row r="726" ht="14.25" customHeight="1">
      <c r="C726" s="9"/>
    </row>
    <row r="727" ht="14.25" customHeight="1">
      <c r="C727" s="9"/>
    </row>
    <row r="728" ht="14.25" customHeight="1">
      <c r="C728" s="9"/>
    </row>
    <row r="729" ht="14.25" customHeight="1">
      <c r="C729" s="9"/>
    </row>
    <row r="730" ht="14.25" customHeight="1">
      <c r="C730" s="9"/>
    </row>
    <row r="731" ht="14.25" customHeight="1">
      <c r="C731" s="9"/>
    </row>
    <row r="732" ht="14.25" customHeight="1">
      <c r="C732" s="9"/>
    </row>
    <row r="733" ht="14.25" customHeight="1">
      <c r="C733" s="9"/>
    </row>
    <row r="734" ht="14.25" customHeight="1">
      <c r="C734" s="9"/>
    </row>
    <row r="735" ht="14.25" customHeight="1">
      <c r="C735" s="9"/>
    </row>
    <row r="736" ht="14.25" customHeight="1">
      <c r="C736" s="9"/>
    </row>
    <row r="737" ht="14.25" customHeight="1">
      <c r="C737" s="9"/>
    </row>
    <row r="738" ht="14.25" customHeight="1">
      <c r="C738" s="9"/>
    </row>
    <row r="739" ht="14.25" customHeight="1">
      <c r="C739" s="9"/>
    </row>
    <row r="740" ht="14.25" customHeight="1">
      <c r="C740" s="9"/>
    </row>
    <row r="741" ht="14.25" customHeight="1">
      <c r="C741" s="9"/>
    </row>
    <row r="742" ht="14.25" customHeight="1">
      <c r="C742" s="9"/>
    </row>
    <row r="743" ht="14.25" customHeight="1">
      <c r="C743" s="9"/>
    </row>
    <row r="744" ht="14.25" customHeight="1">
      <c r="C744" s="9"/>
    </row>
    <row r="745" ht="14.25" customHeight="1">
      <c r="C745" s="9"/>
    </row>
    <row r="746" ht="14.25" customHeight="1">
      <c r="C746" s="9"/>
    </row>
    <row r="747" ht="14.25" customHeight="1">
      <c r="C747" s="9"/>
    </row>
    <row r="748" ht="14.25" customHeight="1">
      <c r="C748" s="9"/>
    </row>
    <row r="749" ht="14.25" customHeight="1">
      <c r="C749" s="9"/>
    </row>
    <row r="750" ht="14.25" customHeight="1">
      <c r="C750" s="9"/>
    </row>
    <row r="751" ht="14.25" customHeight="1">
      <c r="C751" s="9"/>
    </row>
    <row r="752" ht="14.25" customHeight="1">
      <c r="C752" s="9"/>
    </row>
    <row r="753" ht="14.25" customHeight="1">
      <c r="C753" s="9"/>
    </row>
    <row r="754" ht="14.25" customHeight="1">
      <c r="C754" s="9"/>
    </row>
    <row r="755" ht="14.25" customHeight="1">
      <c r="C755" s="9"/>
    </row>
    <row r="756" ht="14.25" customHeight="1">
      <c r="C756" s="9"/>
    </row>
    <row r="757" ht="14.25" customHeight="1">
      <c r="C757" s="9"/>
    </row>
    <row r="758" ht="14.25" customHeight="1">
      <c r="C758" s="9"/>
    </row>
    <row r="759" ht="14.25" customHeight="1">
      <c r="C759" s="9"/>
    </row>
    <row r="760" ht="14.25" customHeight="1">
      <c r="C760" s="9"/>
    </row>
    <row r="761" ht="14.25" customHeight="1">
      <c r="C761" s="9"/>
    </row>
    <row r="762" ht="14.25" customHeight="1">
      <c r="C762" s="9"/>
    </row>
    <row r="763" ht="14.25" customHeight="1">
      <c r="C763" s="9"/>
    </row>
    <row r="764" ht="14.25" customHeight="1">
      <c r="C764" s="9"/>
    </row>
    <row r="765" ht="14.25" customHeight="1">
      <c r="C765" s="9"/>
    </row>
    <row r="766" ht="14.25" customHeight="1">
      <c r="C766" s="9"/>
    </row>
    <row r="767" ht="14.25" customHeight="1">
      <c r="C767" s="9"/>
    </row>
    <row r="768" ht="14.25" customHeight="1">
      <c r="C768" s="9"/>
    </row>
    <row r="769" ht="14.25" customHeight="1">
      <c r="C769" s="9"/>
    </row>
    <row r="770" ht="14.25" customHeight="1">
      <c r="C770" s="9"/>
    </row>
    <row r="771" ht="14.25" customHeight="1">
      <c r="C771" s="9"/>
    </row>
    <row r="772" ht="14.25" customHeight="1">
      <c r="C772" s="9"/>
    </row>
    <row r="773" ht="14.25" customHeight="1">
      <c r="C773" s="9"/>
    </row>
    <row r="774" ht="14.25" customHeight="1">
      <c r="C774" s="9"/>
    </row>
    <row r="775" ht="14.25" customHeight="1">
      <c r="C775" s="9"/>
    </row>
    <row r="776" ht="14.25" customHeight="1">
      <c r="C776" s="9"/>
    </row>
    <row r="777" ht="14.25" customHeight="1">
      <c r="C777" s="9"/>
    </row>
    <row r="778" ht="14.25" customHeight="1">
      <c r="C778" s="9"/>
    </row>
    <row r="779" ht="14.25" customHeight="1">
      <c r="C779" s="9"/>
    </row>
    <row r="780" ht="14.25" customHeight="1">
      <c r="C780" s="9"/>
    </row>
    <row r="781" ht="14.25" customHeight="1">
      <c r="C781" s="9"/>
    </row>
    <row r="782" ht="14.25" customHeight="1">
      <c r="C782" s="9"/>
    </row>
    <row r="783" ht="14.25" customHeight="1">
      <c r="C783" s="9"/>
    </row>
    <row r="784" ht="14.25" customHeight="1">
      <c r="C784" s="9"/>
    </row>
    <row r="785" ht="14.25" customHeight="1">
      <c r="C785" s="9"/>
    </row>
    <row r="786" ht="14.25" customHeight="1">
      <c r="C786" s="9"/>
    </row>
    <row r="787" ht="14.25" customHeight="1">
      <c r="C787" s="9"/>
    </row>
    <row r="788" ht="14.25" customHeight="1">
      <c r="C788" s="9"/>
    </row>
    <row r="789" ht="14.25" customHeight="1">
      <c r="C789" s="9"/>
    </row>
    <row r="790" ht="14.25" customHeight="1">
      <c r="C790" s="9"/>
    </row>
    <row r="791" ht="14.25" customHeight="1">
      <c r="C791" s="9"/>
    </row>
    <row r="792" ht="14.25" customHeight="1">
      <c r="C792" s="9"/>
    </row>
    <row r="793" ht="14.25" customHeight="1">
      <c r="C793" s="9"/>
    </row>
    <row r="794" ht="14.25" customHeight="1">
      <c r="C794" s="9"/>
    </row>
    <row r="795" ht="14.25" customHeight="1">
      <c r="C795" s="9"/>
    </row>
    <row r="796" ht="14.25" customHeight="1">
      <c r="C796" s="9"/>
    </row>
    <row r="797" ht="14.25" customHeight="1">
      <c r="C797" s="9"/>
    </row>
    <row r="798" ht="14.25" customHeight="1">
      <c r="C798" s="9"/>
    </row>
    <row r="799" ht="14.25" customHeight="1">
      <c r="C799" s="9"/>
    </row>
    <row r="800" ht="14.25" customHeight="1">
      <c r="C800" s="9"/>
    </row>
    <row r="801" ht="14.25" customHeight="1">
      <c r="C801" s="9"/>
    </row>
    <row r="802" ht="14.25" customHeight="1">
      <c r="C802" s="9"/>
    </row>
    <row r="803" ht="14.25" customHeight="1">
      <c r="C803" s="9"/>
    </row>
    <row r="804" ht="14.25" customHeight="1">
      <c r="C804" s="9"/>
    </row>
    <row r="805" ht="14.25" customHeight="1">
      <c r="C805" s="9"/>
    </row>
    <row r="806" ht="14.25" customHeight="1">
      <c r="C806" s="9"/>
    </row>
    <row r="807" ht="14.25" customHeight="1">
      <c r="C807" s="9"/>
    </row>
    <row r="808" ht="14.25" customHeight="1">
      <c r="C808" s="9"/>
    </row>
    <row r="809" ht="14.25" customHeight="1">
      <c r="C809" s="9"/>
    </row>
    <row r="810" ht="14.25" customHeight="1">
      <c r="C810" s="9"/>
    </row>
    <row r="811" ht="14.25" customHeight="1">
      <c r="C811" s="9"/>
    </row>
    <row r="812" ht="14.25" customHeight="1">
      <c r="C812" s="9"/>
    </row>
    <row r="813" ht="14.25" customHeight="1">
      <c r="C813" s="9"/>
    </row>
    <row r="814" ht="14.25" customHeight="1">
      <c r="C814" s="9"/>
    </row>
    <row r="815" ht="14.25" customHeight="1">
      <c r="C815" s="9"/>
    </row>
    <row r="816" ht="14.25" customHeight="1">
      <c r="C816" s="9"/>
    </row>
    <row r="817" ht="14.25" customHeight="1">
      <c r="C817" s="9"/>
    </row>
    <row r="818" ht="14.25" customHeight="1">
      <c r="C818" s="9"/>
    </row>
    <row r="819" ht="14.25" customHeight="1">
      <c r="C819" s="9"/>
    </row>
    <row r="820" ht="14.25" customHeight="1">
      <c r="C820" s="9"/>
    </row>
    <row r="821" ht="14.25" customHeight="1">
      <c r="C821" s="9"/>
    </row>
    <row r="822" ht="14.25" customHeight="1">
      <c r="C822" s="9"/>
    </row>
    <row r="823" ht="14.25" customHeight="1">
      <c r="C823" s="9"/>
    </row>
    <row r="824" ht="14.25" customHeight="1">
      <c r="C824" s="9"/>
    </row>
    <row r="825" ht="14.25" customHeight="1">
      <c r="C825" s="9"/>
    </row>
    <row r="826" ht="14.25" customHeight="1">
      <c r="C826" s="9"/>
    </row>
    <row r="827" ht="14.25" customHeight="1">
      <c r="C827" s="9"/>
    </row>
    <row r="828" ht="14.25" customHeight="1">
      <c r="C828" s="9"/>
    </row>
    <row r="829" ht="14.25" customHeight="1">
      <c r="C829" s="9"/>
    </row>
    <row r="830" ht="14.25" customHeight="1">
      <c r="C830" s="9"/>
    </row>
    <row r="831" ht="14.25" customHeight="1">
      <c r="C831" s="9"/>
    </row>
    <row r="832" ht="14.25" customHeight="1">
      <c r="C832" s="9"/>
    </row>
    <row r="833" ht="14.25" customHeight="1">
      <c r="C833" s="9"/>
    </row>
    <row r="834" ht="14.25" customHeight="1">
      <c r="C834" s="9"/>
    </row>
    <row r="835" ht="14.25" customHeight="1">
      <c r="C835" s="9"/>
    </row>
    <row r="836" ht="14.25" customHeight="1">
      <c r="C836" s="9"/>
    </row>
    <row r="837" ht="14.25" customHeight="1">
      <c r="C837" s="9"/>
    </row>
    <row r="838" ht="14.25" customHeight="1">
      <c r="C838" s="9"/>
    </row>
    <row r="839" ht="14.25" customHeight="1">
      <c r="C839" s="9"/>
    </row>
    <row r="840" ht="14.25" customHeight="1">
      <c r="C840" s="9"/>
    </row>
    <row r="841" ht="14.25" customHeight="1">
      <c r="C841" s="9"/>
    </row>
    <row r="842" ht="14.25" customHeight="1">
      <c r="C842" s="9"/>
    </row>
    <row r="843" ht="14.25" customHeight="1">
      <c r="C843" s="9"/>
    </row>
    <row r="844" ht="14.25" customHeight="1">
      <c r="C844" s="9"/>
    </row>
    <row r="845" ht="14.25" customHeight="1">
      <c r="C845" s="9"/>
    </row>
    <row r="846" ht="14.25" customHeight="1">
      <c r="C846" s="9"/>
    </row>
    <row r="847" ht="14.25" customHeight="1">
      <c r="C847" s="9"/>
    </row>
    <row r="848" ht="14.25" customHeight="1">
      <c r="C848" s="9"/>
    </row>
    <row r="849" ht="14.25" customHeight="1">
      <c r="C849" s="9"/>
    </row>
    <row r="850" ht="14.25" customHeight="1">
      <c r="C850" s="9"/>
    </row>
    <row r="851" ht="14.25" customHeight="1">
      <c r="C851" s="9"/>
    </row>
    <row r="852" ht="14.25" customHeight="1">
      <c r="C852" s="9"/>
    </row>
    <row r="853" ht="14.25" customHeight="1">
      <c r="C853" s="9"/>
    </row>
    <row r="854" ht="14.25" customHeight="1">
      <c r="C854" s="9"/>
    </row>
    <row r="855" ht="14.25" customHeight="1">
      <c r="C855" s="9"/>
    </row>
    <row r="856" ht="14.25" customHeight="1">
      <c r="C856" s="9"/>
    </row>
    <row r="857" ht="14.25" customHeight="1">
      <c r="C857" s="9"/>
    </row>
    <row r="858" ht="14.25" customHeight="1">
      <c r="C858" s="9"/>
    </row>
    <row r="859" ht="14.25" customHeight="1">
      <c r="C859" s="9"/>
    </row>
    <row r="860" ht="14.25" customHeight="1">
      <c r="C860" s="9"/>
    </row>
    <row r="861" ht="14.25" customHeight="1">
      <c r="C861" s="9"/>
    </row>
    <row r="862" ht="14.25" customHeight="1">
      <c r="C862" s="9"/>
    </row>
    <row r="863" ht="14.25" customHeight="1">
      <c r="C863" s="9"/>
    </row>
    <row r="864" ht="14.25" customHeight="1">
      <c r="C864" s="9"/>
    </row>
    <row r="865" ht="14.25" customHeight="1">
      <c r="C865" s="9"/>
    </row>
    <row r="866" ht="14.25" customHeight="1">
      <c r="C866" s="9"/>
    </row>
    <row r="867" ht="14.25" customHeight="1">
      <c r="C867" s="9"/>
    </row>
    <row r="868" ht="14.25" customHeight="1">
      <c r="C868" s="9"/>
    </row>
    <row r="869" ht="14.25" customHeight="1">
      <c r="C869" s="9"/>
    </row>
    <row r="870" ht="14.25" customHeight="1">
      <c r="C870" s="9"/>
    </row>
    <row r="871" ht="14.25" customHeight="1">
      <c r="C871" s="9"/>
    </row>
    <row r="872" ht="14.25" customHeight="1">
      <c r="C872" s="9"/>
    </row>
    <row r="873" ht="14.25" customHeight="1">
      <c r="C873" s="9"/>
    </row>
    <row r="874" ht="14.25" customHeight="1">
      <c r="C874" s="9"/>
    </row>
    <row r="875" ht="14.25" customHeight="1">
      <c r="C875" s="9"/>
    </row>
    <row r="876" ht="14.25" customHeight="1">
      <c r="C876" s="9"/>
    </row>
    <row r="877" ht="14.25" customHeight="1">
      <c r="C877" s="9"/>
    </row>
    <row r="878" ht="14.25" customHeight="1">
      <c r="C878" s="9"/>
    </row>
    <row r="879" ht="14.25" customHeight="1">
      <c r="C879" s="9"/>
    </row>
    <row r="880" ht="14.25" customHeight="1">
      <c r="C880" s="9"/>
    </row>
    <row r="881" ht="14.25" customHeight="1">
      <c r="C881" s="9"/>
    </row>
    <row r="882" ht="14.25" customHeight="1">
      <c r="C882" s="9"/>
    </row>
    <row r="883" ht="14.25" customHeight="1">
      <c r="C883" s="9"/>
    </row>
    <row r="884" ht="14.25" customHeight="1">
      <c r="C884" s="9"/>
    </row>
    <row r="885" ht="14.25" customHeight="1">
      <c r="C885" s="9"/>
    </row>
    <row r="886" ht="14.25" customHeight="1">
      <c r="C886" s="9"/>
    </row>
    <row r="887" ht="14.25" customHeight="1">
      <c r="C887" s="9"/>
    </row>
    <row r="888" ht="14.25" customHeight="1">
      <c r="C888" s="9"/>
    </row>
    <row r="889" ht="14.25" customHeight="1">
      <c r="C889" s="9"/>
    </row>
    <row r="890" ht="14.25" customHeight="1">
      <c r="C890" s="9"/>
    </row>
    <row r="891" ht="14.25" customHeight="1">
      <c r="C891" s="9"/>
    </row>
    <row r="892" ht="14.25" customHeight="1">
      <c r="C892" s="9"/>
    </row>
    <row r="893" ht="14.25" customHeight="1">
      <c r="C893" s="9"/>
    </row>
    <row r="894" ht="14.25" customHeight="1">
      <c r="C894" s="9"/>
    </row>
    <row r="895" ht="14.25" customHeight="1">
      <c r="C895" s="9"/>
    </row>
    <row r="896" ht="14.25" customHeight="1">
      <c r="C896" s="9"/>
    </row>
    <row r="897" ht="14.25" customHeight="1">
      <c r="C897" s="9"/>
    </row>
    <row r="898" ht="14.25" customHeight="1">
      <c r="C898" s="9"/>
    </row>
    <row r="899" ht="14.25" customHeight="1">
      <c r="C899" s="9"/>
    </row>
    <row r="900" ht="14.25" customHeight="1">
      <c r="C900" s="9"/>
    </row>
    <row r="901" ht="14.25" customHeight="1">
      <c r="C901" s="9"/>
    </row>
    <row r="902" ht="14.25" customHeight="1">
      <c r="C902" s="9"/>
    </row>
    <row r="903" ht="14.25" customHeight="1">
      <c r="C903" s="9"/>
    </row>
    <row r="904" ht="14.25" customHeight="1">
      <c r="C904" s="9"/>
    </row>
    <row r="905" ht="14.25" customHeight="1">
      <c r="C905" s="9"/>
    </row>
    <row r="906" ht="14.25" customHeight="1">
      <c r="C906" s="9"/>
    </row>
    <row r="907" ht="14.25" customHeight="1">
      <c r="C907" s="9"/>
    </row>
    <row r="908" ht="14.25" customHeight="1">
      <c r="C908" s="9"/>
    </row>
    <row r="909" ht="14.25" customHeight="1">
      <c r="C909" s="9"/>
    </row>
    <row r="910" ht="14.25" customHeight="1">
      <c r="C910" s="9"/>
    </row>
    <row r="911" ht="14.25" customHeight="1">
      <c r="C911" s="9"/>
    </row>
    <row r="912" ht="14.25" customHeight="1">
      <c r="C912" s="9"/>
    </row>
    <row r="913" ht="14.25" customHeight="1">
      <c r="C913" s="9"/>
    </row>
    <row r="914" ht="14.25" customHeight="1">
      <c r="C914" s="9"/>
    </row>
    <row r="915" ht="14.25" customHeight="1">
      <c r="C915" s="9"/>
    </row>
    <row r="916" ht="14.25" customHeight="1">
      <c r="C916" s="9"/>
    </row>
    <row r="917" ht="14.25" customHeight="1">
      <c r="C917" s="9"/>
    </row>
    <row r="918" ht="14.25" customHeight="1">
      <c r="C918" s="9"/>
    </row>
    <row r="919" ht="14.25" customHeight="1">
      <c r="C919" s="9"/>
    </row>
    <row r="920" ht="14.25" customHeight="1">
      <c r="C920" s="9"/>
    </row>
    <row r="921" ht="14.25" customHeight="1">
      <c r="C921" s="9"/>
    </row>
    <row r="922" ht="14.25" customHeight="1">
      <c r="C922" s="9"/>
    </row>
    <row r="923" ht="14.25" customHeight="1">
      <c r="C923" s="9"/>
    </row>
    <row r="924" ht="14.25" customHeight="1">
      <c r="C924" s="9"/>
    </row>
    <row r="925" ht="14.25" customHeight="1">
      <c r="C925" s="9"/>
    </row>
    <row r="926" ht="14.25" customHeight="1">
      <c r="C926" s="9"/>
    </row>
    <row r="927" ht="14.25" customHeight="1">
      <c r="C927" s="9"/>
    </row>
    <row r="928" ht="14.25" customHeight="1">
      <c r="C928" s="9"/>
    </row>
    <row r="929" ht="14.25" customHeight="1">
      <c r="C929" s="9"/>
    </row>
    <row r="930" ht="14.25" customHeight="1">
      <c r="C930" s="9"/>
    </row>
    <row r="931" ht="14.25" customHeight="1">
      <c r="C931" s="9"/>
    </row>
    <row r="932" ht="14.25" customHeight="1">
      <c r="C932" s="9"/>
    </row>
    <row r="933" ht="14.25" customHeight="1">
      <c r="C933" s="9"/>
    </row>
    <row r="934" ht="14.25" customHeight="1">
      <c r="C934" s="9"/>
    </row>
    <row r="935" ht="14.25" customHeight="1">
      <c r="C935" s="9"/>
    </row>
    <row r="936" ht="14.25" customHeight="1">
      <c r="C936" s="9"/>
    </row>
    <row r="937" ht="14.25" customHeight="1">
      <c r="C937" s="9"/>
    </row>
    <row r="938" ht="14.25" customHeight="1">
      <c r="C938" s="9"/>
    </row>
    <row r="939" ht="14.25" customHeight="1">
      <c r="C939" s="9"/>
    </row>
    <row r="940" ht="14.25" customHeight="1">
      <c r="C940" s="9"/>
    </row>
    <row r="941" ht="14.25" customHeight="1">
      <c r="C941" s="9"/>
    </row>
    <row r="942" ht="14.25" customHeight="1">
      <c r="C942" s="9"/>
    </row>
    <row r="943" ht="14.25" customHeight="1">
      <c r="C943" s="9"/>
    </row>
    <row r="944" ht="14.25" customHeight="1">
      <c r="C944" s="9"/>
    </row>
    <row r="945" ht="14.25" customHeight="1">
      <c r="C945" s="9"/>
    </row>
    <row r="946" ht="14.25" customHeight="1">
      <c r="C946" s="9"/>
    </row>
    <row r="947" ht="14.25" customHeight="1">
      <c r="C947" s="9"/>
    </row>
    <row r="948" ht="14.25" customHeight="1">
      <c r="C948" s="9"/>
    </row>
    <row r="949" ht="14.25" customHeight="1">
      <c r="C949" s="9"/>
    </row>
    <row r="950" ht="14.25" customHeight="1">
      <c r="C950" s="9"/>
    </row>
    <row r="951" ht="14.25" customHeight="1">
      <c r="C951" s="9"/>
    </row>
    <row r="952" ht="14.25" customHeight="1">
      <c r="C952" s="9"/>
    </row>
    <row r="953" ht="14.25" customHeight="1">
      <c r="C953" s="9"/>
    </row>
    <row r="954" ht="14.25" customHeight="1">
      <c r="C954" s="9"/>
    </row>
    <row r="955" ht="14.25" customHeight="1">
      <c r="C955" s="9"/>
    </row>
    <row r="956" ht="14.25" customHeight="1">
      <c r="C956" s="9"/>
    </row>
    <row r="957" ht="14.25" customHeight="1">
      <c r="C957" s="9"/>
    </row>
    <row r="958" ht="14.25" customHeight="1">
      <c r="C958" s="9"/>
    </row>
    <row r="959" ht="14.25" customHeight="1">
      <c r="C959" s="9"/>
    </row>
    <row r="960" ht="14.25" customHeight="1">
      <c r="C960" s="9"/>
    </row>
    <row r="961" ht="14.25" customHeight="1">
      <c r="C961" s="9"/>
    </row>
    <row r="962" ht="14.25" customHeight="1">
      <c r="C962" s="9"/>
    </row>
    <row r="963" ht="14.25" customHeight="1">
      <c r="C963" s="9"/>
    </row>
    <row r="964" ht="14.25" customHeight="1">
      <c r="C964" s="9"/>
    </row>
    <row r="965" ht="14.25" customHeight="1">
      <c r="C965" s="9"/>
    </row>
    <row r="966" ht="14.25" customHeight="1">
      <c r="C966" s="9"/>
    </row>
    <row r="967" ht="14.25" customHeight="1">
      <c r="C967" s="9"/>
    </row>
    <row r="968" ht="14.25" customHeight="1">
      <c r="C968" s="9"/>
    </row>
    <row r="969" ht="14.25" customHeight="1">
      <c r="C969" s="9"/>
    </row>
    <row r="970" ht="14.25" customHeight="1">
      <c r="C970" s="9"/>
    </row>
    <row r="971" ht="14.25" customHeight="1">
      <c r="C971" s="9"/>
    </row>
    <row r="972" ht="14.25" customHeight="1">
      <c r="C972" s="9"/>
    </row>
    <row r="973" ht="14.25" customHeight="1">
      <c r="C973" s="9"/>
    </row>
    <row r="974" ht="14.25" customHeight="1">
      <c r="C974" s="9"/>
    </row>
    <row r="975" ht="14.25" customHeight="1">
      <c r="C975" s="9"/>
    </row>
    <row r="976" ht="14.25" customHeight="1">
      <c r="C976" s="9"/>
    </row>
    <row r="977" ht="14.25" customHeight="1">
      <c r="C977" s="9"/>
    </row>
    <row r="978" ht="14.25" customHeight="1">
      <c r="C978" s="9"/>
    </row>
    <row r="979" ht="14.25" customHeight="1">
      <c r="C979" s="9"/>
    </row>
    <row r="980" ht="14.25" customHeight="1">
      <c r="C980" s="9"/>
    </row>
    <row r="981" ht="14.25" customHeight="1">
      <c r="C981" s="9"/>
    </row>
    <row r="982" ht="14.25" customHeight="1">
      <c r="C982" s="9"/>
    </row>
    <row r="983" ht="14.25" customHeight="1">
      <c r="C983" s="9"/>
    </row>
    <row r="984" ht="14.25" customHeight="1">
      <c r="C984" s="9"/>
    </row>
    <row r="985" ht="14.25" customHeight="1">
      <c r="C985" s="9"/>
    </row>
    <row r="986" ht="14.25" customHeight="1">
      <c r="C986" s="9"/>
    </row>
    <row r="987" ht="14.25" customHeight="1">
      <c r="C987" s="9"/>
    </row>
    <row r="988" ht="14.25" customHeight="1">
      <c r="C988" s="9"/>
    </row>
    <row r="989" ht="14.25" customHeight="1">
      <c r="C989" s="9"/>
    </row>
    <row r="990" ht="14.25" customHeight="1">
      <c r="C990" s="9"/>
    </row>
    <row r="991" ht="14.25" customHeight="1">
      <c r="C991" s="9"/>
    </row>
    <row r="992" ht="14.25" customHeight="1">
      <c r="C992" s="9"/>
    </row>
    <row r="993" ht="14.25" customHeight="1">
      <c r="C993" s="9"/>
    </row>
    <row r="994" ht="14.25" customHeight="1">
      <c r="C994" s="9"/>
    </row>
    <row r="995" ht="14.25" customHeight="1">
      <c r="C995" s="9"/>
    </row>
    <row r="996" ht="14.25" customHeight="1">
      <c r="C996" s="9"/>
    </row>
    <row r="997" ht="14.25" customHeight="1">
      <c r="C997" s="9"/>
    </row>
    <row r="998" ht="14.25" customHeight="1">
      <c r="C998" s="9"/>
    </row>
    <row r="999" ht="14.25" customHeight="1">
      <c r="C999" s="9"/>
    </row>
    <row r="1000" ht="14.25" customHeight="1">
      <c r="C1000" s="9"/>
    </row>
    <row r="1001" ht="14.25" customHeight="1">
      <c r="C1001" s="9"/>
    </row>
    <row r="1002" ht="14.25" customHeight="1">
      <c r="C1002" s="9"/>
    </row>
    <row r="1003" ht="14.25" customHeight="1">
      <c r="C1003" s="9"/>
    </row>
    <row r="1004" ht="14.25" customHeight="1">
      <c r="C1004" s="9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1" width="9.88"/>
    <col customWidth="1" min="2" max="2" width="8.63"/>
    <col customWidth="1" min="3" max="3" width="12.25"/>
    <col customWidth="1" min="4" max="25" width="8.63"/>
  </cols>
  <sheetData>
    <row r="1" ht="14.25" customHeight="1">
      <c r="A1" s="1" t="s">
        <v>0</v>
      </c>
      <c r="B1" s="1" t="s">
        <v>1</v>
      </c>
      <c r="C1" s="40" t="s">
        <v>75</v>
      </c>
      <c r="D1" s="3">
        <v>1.0</v>
      </c>
      <c r="E1" s="3">
        <v>2.0</v>
      </c>
      <c r="F1" s="3">
        <v>3.0</v>
      </c>
      <c r="G1" s="3">
        <v>4.0</v>
      </c>
      <c r="H1" s="3">
        <v>5.0</v>
      </c>
      <c r="I1" s="5">
        <v>6.0</v>
      </c>
      <c r="J1" s="5">
        <v>7.0</v>
      </c>
      <c r="K1" s="5">
        <v>8.0</v>
      </c>
      <c r="L1" s="5">
        <v>9.0</v>
      </c>
      <c r="M1" s="5">
        <v>10.0</v>
      </c>
      <c r="N1" s="3">
        <v>11.0</v>
      </c>
      <c r="O1" s="3">
        <v>12.0</v>
      </c>
      <c r="P1" s="3">
        <v>13.0</v>
      </c>
      <c r="Q1" s="3">
        <v>14.0</v>
      </c>
      <c r="R1" s="3">
        <v>15.0</v>
      </c>
      <c r="S1" s="1" t="s">
        <v>2</v>
      </c>
      <c r="T1" s="1" t="s">
        <v>3</v>
      </c>
      <c r="U1" s="6" t="s">
        <v>4</v>
      </c>
      <c r="V1" s="1"/>
      <c r="W1" s="1"/>
      <c r="X1" s="1"/>
      <c r="Y1" s="1"/>
    </row>
    <row r="2" ht="14.25" customHeight="1">
      <c r="A2" s="7">
        <v>45484.0</v>
      </c>
      <c r="B2" s="8" t="s">
        <v>5</v>
      </c>
      <c r="C2" s="9" t="s">
        <v>6</v>
      </c>
      <c r="D2" s="8">
        <v>1.0</v>
      </c>
      <c r="E2" s="8">
        <v>2.0</v>
      </c>
      <c r="F2" s="8">
        <v>2.0</v>
      </c>
      <c r="G2" s="8">
        <v>3.0</v>
      </c>
      <c r="H2" s="8">
        <v>5.0</v>
      </c>
      <c r="I2" s="8">
        <v>5.0</v>
      </c>
      <c r="J2" s="8">
        <v>5.0</v>
      </c>
      <c r="K2" s="8">
        <v>3.0</v>
      </c>
      <c r="L2" s="8">
        <v>4.0</v>
      </c>
      <c r="M2" s="8">
        <v>4.0</v>
      </c>
      <c r="N2" s="8">
        <v>3.0</v>
      </c>
      <c r="O2" s="8">
        <v>4.0</v>
      </c>
      <c r="P2" s="8">
        <v>5.0</v>
      </c>
      <c r="Q2" s="8">
        <v>5.0</v>
      </c>
      <c r="R2" s="8">
        <v>5.0</v>
      </c>
      <c r="S2" s="8">
        <v>167.0</v>
      </c>
      <c r="U2" s="10">
        <f t="shared" ref="U2:U21" si="1">AVERAGE(D2:R2)</f>
        <v>3.733333333</v>
      </c>
      <c r="V2" s="11"/>
    </row>
    <row r="3" ht="14.25" customHeight="1">
      <c r="A3" s="7">
        <v>45490.0</v>
      </c>
      <c r="B3" s="8" t="s">
        <v>7</v>
      </c>
      <c r="C3" s="9" t="s">
        <v>8</v>
      </c>
      <c r="D3" s="8">
        <v>1.0</v>
      </c>
      <c r="E3" s="8">
        <v>1.0</v>
      </c>
      <c r="F3" s="8">
        <v>2.0</v>
      </c>
      <c r="G3" s="8">
        <v>5.0</v>
      </c>
      <c r="H3" s="8">
        <v>5.0</v>
      </c>
      <c r="I3" s="8">
        <v>2.0</v>
      </c>
      <c r="J3" s="8">
        <v>0.0</v>
      </c>
      <c r="K3" s="8">
        <v>0.0</v>
      </c>
      <c r="L3" s="8">
        <v>3.0</v>
      </c>
      <c r="M3" s="8">
        <v>0.0</v>
      </c>
      <c r="N3" s="8">
        <v>0.0</v>
      </c>
      <c r="O3" s="8">
        <v>5.0</v>
      </c>
      <c r="P3" s="8">
        <v>5.0</v>
      </c>
      <c r="Q3" s="8">
        <v>10.0</v>
      </c>
      <c r="R3" s="8">
        <v>10.0</v>
      </c>
      <c r="S3" s="8">
        <v>168.0</v>
      </c>
      <c r="U3" s="10">
        <f t="shared" si="1"/>
        <v>3.266666667</v>
      </c>
      <c r="V3" s="11"/>
    </row>
    <row r="4" ht="14.25" customHeight="1">
      <c r="A4" s="7">
        <v>45477.0</v>
      </c>
      <c r="B4" s="8" t="s">
        <v>15</v>
      </c>
      <c r="C4" s="9" t="s">
        <v>16</v>
      </c>
      <c r="D4" s="8">
        <v>5.0</v>
      </c>
      <c r="E4" s="8">
        <v>5.0</v>
      </c>
      <c r="F4" s="8">
        <v>5.0</v>
      </c>
      <c r="G4" s="8">
        <v>5.0</v>
      </c>
      <c r="H4" s="8">
        <v>5.0</v>
      </c>
      <c r="I4" s="8">
        <v>5.0</v>
      </c>
      <c r="J4" s="8">
        <v>5.0</v>
      </c>
      <c r="K4" s="8">
        <v>5.0</v>
      </c>
      <c r="L4" s="8">
        <v>0.0</v>
      </c>
      <c r="M4" s="8">
        <v>5.0</v>
      </c>
      <c r="N4" s="8">
        <v>5.0</v>
      </c>
      <c r="O4" s="8">
        <v>5.0</v>
      </c>
      <c r="P4" s="8">
        <v>5.0</v>
      </c>
      <c r="Q4" s="8">
        <v>0.0</v>
      </c>
      <c r="R4" s="8">
        <v>10.0</v>
      </c>
      <c r="S4" s="8">
        <v>175.0</v>
      </c>
      <c r="U4" s="10">
        <f t="shared" si="1"/>
        <v>4.666666667</v>
      </c>
      <c r="V4" s="11"/>
    </row>
    <row r="5" ht="14.25" customHeight="1">
      <c r="A5" s="7">
        <v>45477.0</v>
      </c>
      <c r="B5" s="8" t="s">
        <v>20</v>
      </c>
      <c r="C5" s="9" t="s">
        <v>21</v>
      </c>
      <c r="D5" s="8">
        <v>5.0</v>
      </c>
      <c r="E5" s="8">
        <v>10.0</v>
      </c>
      <c r="F5" s="8">
        <v>5.0</v>
      </c>
      <c r="G5" s="8">
        <v>3.0</v>
      </c>
      <c r="H5" s="8">
        <v>5.0</v>
      </c>
      <c r="I5" s="8">
        <v>3.0</v>
      </c>
      <c r="J5" s="8">
        <v>5.0</v>
      </c>
      <c r="K5" s="8">
        <v>1.0</v>
      </c>
      <c r="L5" s="8">
        <v>4.0</v>
      </c>
      <c r="M5" s="8">
        <v>5.0</v>
      </c>
      <c r="N5" s="8">
        <v>5.0</v>
      </c>
      <c r="O5" s="8">
        <v>5.0</v>
      </c>
      <c r="P5" s="8">
        <v>4.0</v>
      </c>
      <c r="Q5" s="8">
        <v>5.0</v>
      </c>
      <c r="R5" s="8">
        <v>10.0</v>
      </c>
      <c r="S5" s="8">
        <v>192.0</v>
      </c>
      <c r="U5" s="10">
        <f t="shared" si="1"/>
        <v>5</v>
      </c>
      <c r="V5" s="20"/>
    </row>
    <row r="6" ht="14.25" customHeight="1">
      <c r="A6" s="7">
        <v>45482.0</v>
      </c>
      <c r="B6" s="8" t="s">
        <v>29</v>
      </c>
      <c r="C6" s="9" t="s">
        <v>30</v>
      </c>
      <c r="D6" s="8">
        <v>0.0</v>
      </c>
      <c r="E6" s="8">
        <v>5.0</v>
      </c>
      <c r="F6" s="8">
        <v>10.0</v>
      </c>
      <c r="G6" s="8">
        <v>5.0</v>
      </c>
      <c r="H6" s="8">
        <v>10.0</v>
      </c>
      <c r="I6" s="8">
        <v>10.0</v>
      </c>
      <c r="J6" s="8">
        <v>5.0</v>
      </c>
      <c r="K6" s="8">
        <v>5.0</v>
      </c>
      <c r="L6" s="8">
        <v>5.0</v>
      </c>
      <c r="M6" s="8">
        <v>10.0</v>
      </c>
      <c r="N6" s="8">
        <v>5.0</v>
      </c>
      <c r="O6" s="8">
        <v>10.0</v>
      </c>
      <c r="P6" s="8">
        <v>0.0</v>
      </c>
      <c r="Q6" s="8">
        <v>5.0</v>
      </c>
      <c r="R6" s="8">
        <v>5.0</v>
      </c>
      <c r="S6" s="8">
        <v>181.0</v>
      </c>
      <c r="U6" s="10">
        <f t="shared" si="1"/>
        <v>6</v>
      </c>
      <c r="V6" s="23"/>
    </row>
    <row r="7" ht="14.25" customHeight="1">
      <c r="A7" s="7">
        <v>45484.0</v>
      </c>
      <c r="B7" s="8" t="s">
        <v>33</v>
      </c>
      <c r="C7" s="9" t="s">
        <v>34</v>
      </c>
      <c r="D7" s="8">
        <v>0.0</v>
      </c>
      <c r="E7" s="8">
        <v>0.0</v>
      </c>
      <c r="F7" s="8">
        <v>0.0</v>
      </c>
      <c r="G7" s="8">
        <v>0.0</v>
      </c>
      <c r="H7" s="8">
        <v>1.0</v>
      </c>
      <c r="I7" s="8">
        <v>0.0</v>
      </c>
      <c r="J7" s="8">
        <v>0.0</v>
      </c>
      <c r="K7" s="8">
        <v>0.0</v>
      </c>
      <c r="L7" s="8">
        <v>1.0</v>
      </c>
      <c r="M7" s="8">
        <v>0.0</v>
      </c>
      <c r="N7" s="8">
        <v>0.0</v>
      </c>
      <c r="O7" s="8">
        <v>0.0</v>
      </c>
      <c r="P7" s="8">
        <v>0.0</v>
      </c>
      <c r="Q7" s="8">
        <v>0.0</v>
      </c>
      <c r="R7" s="8">
        <v>0.0</v>
      </c>
      <c r="S7" s="8">
        <v>148.0</v>
      </c>
      <c r="U7" s="10">
        <f t="shared" si="1"/>
        <v>0.1333333333</v>
      </c>
      <c r="V7" s="11"/>
    </row>
    <row r="8" ht="14.25" customHeight="1">
      <c r="A8" s="7">
        <v>45477.0</v>
      </c>
      <c r="B8" s="8" t="s">
        <v>35</v>
      </c>
      <c r="C8" s="9" t="s">
        <v>36</v>
      </c>
      <c r="D8" s="8">
        <v>2.0</v>
      </c>
      <c r="E8" s="8">
        <v>4.0</v>
      </c>
      <c r="F8" s="8">
        <v>5.0</v>
      </c>
      <c r="G8" s="8">
        <v>8.0</v>
      </c>
      <c r="H8" s="8">
        <v>6.0</v>
      </c>
      <c r="I8" s="8">
        <v>5.0</v>
      </c>
      <c r="J8" s="8">
        <v>6.0</v>
      </c>
      <c r="K8" s="8">
        <v>5.0</v>
      </c>
      <c r="L8" s="8">
        <v>3.0</v>
      </c>
      <c r="M8" s="8">
        <v>1.0</v>
      </c>
      <c r="N8" s="8">
        <v>4.0</v>
      </c>
      <c r="O8" s="8">
        <v>3.0</v>
      </c>
      <c r="P8" s="8">
        <v>2.0</v>
      </c>
      <c r="Q8" s="8">
        <v>4.0</v>
      </c>
      <c r="R8" s="8">
        <v>5.0</v>
      </c>
      <c r="S8" s="8">
        <v>187.0</v>
      </c>
      <c r="U8" s="10">
        <f t="shared" si="1"/>
        <v>4.2</v>
      </c>
      <c r="V8" s="24"/>
    </row>
    <row r="9" ht="14.25" customHeight="1">
      <c r="A9" s="7">
        <v>45490.0</v>
      </c>
      <c r="B9" s="8" t="s">
        <v>37</v>
      </c>
      <c r="C9" s="9" t="s">
        <v>38</v>
      </c>
      <c r="D9" s="8">
        <v>0.0</v>
      </c>
      <c r="E9" s="8">
        <v>0.0</v>
      </c>
      <c r="F9" s="8">
        <v>0.0</v>
      </c>
      <c r="G9" s="8">
        <v>0.0</v>
      </c>
      <c r="H9" s="8">
        <v>0.0</v>
      </c>
      <c r="I9" s="8">
        <v>0.0</v>
      </c>
      <c r="J9" s="8">
        <v>0.0</v>
      </c>
      <c r="K9" s="8">
        <v>0.0</v>
      </c>
      <c r="L9" s="8">
        <v>0.0</v>
      </c>
      <c r="M9" s="8">
        <v>0.0</v>
      </c>
      <c r="N9" s="8">
        <v>0.0</v>
      </c>
      <c r="O9" s="25">
        <v>0.0</v>
      </c>
      <c r="P9" s="8">
        <v>0.0</v>
      </c>
      <c r="Q9" s="8">
        <v>0.0</v>
      </c>
      <c r="R9" s="8">
        <v>0.0</v>
      </c>
      <c r="S9" s="8">
        <v>150.0</v>
      </c>
      <c r="U9" s="10">
        <f t="shared" si="1"/>
        <v>0</v>
      </c>
      <c r="V9" s="23"/>
    </row>
    <row r="10" ht="14.25" customHeight="1">
      <c r="A10" s="7">
        <v>45476.0</v>
      </c>
      <c r="B10" s="8" t="s">
        <v>39</v>
      </c>
      <c r="C10" s="9" t="s">
        <v>40</v>
      </c>
      <c r="D10" s="8">
        <v>5.0</v>
      </c>
      <c r="E10" s="8">
        <v>5.0</v>
      </c>
      <c r="F10" s="8">
        <v>5.0</v>
      </c>
      <c r="G10" s="8">
        <v>10.0</v>
      </c>
      <c r="H10" s="8">
        <v>10.0</v>
      </c>
      <c r="I10" s="8">
        <v>5.0</v>
      </c>
      <c r="J10" s="8">
        <v>5.0</v>
      </c>
      <c r="K10" s="8">
        <v>5.0</v>
      </c>
      <c r="L10" s="8">
        <v>0.0</v>
      </c>
      <c r="M10" s="8">
        <v>5.0</v>
      </c>
      <c r="N10" s="8">
        <v>10.0</v>
      </c>
      <c r="O10" s="8">
        <v>5.0</v>
      </c>
      <c r="P10" s="8">
        <v>10.0</v>
      </c>
      <c r="Q10" s="8">
        <v>10.0</v>
      </c>
      <c r="R10" s="8">
        <v>0.0</v>
      </c>
      <c r="S10" s="8">
        <v>197.0</v>
      </c>
      <c r="U10" s="10">
        <f t="shared" si="1"/>
        <v>6</v>
      </c>
      <c r="V10" s="23"/>
    </row>
    <row r="11" ht="14.25" customHeight="1">
      <c r="A11" s="7">
        <v>45477.0</v>
      </c>
      <c r="B11" s="8" t="s">
        <v>43</v>
      </c>
      <c r="C11" s="9" t="s">
        <v>44</v>
      </c>
      <c r="D11" s="8">
        <v>5.0</v>
      </c>
      <c r="E11" s="8">
        <v>5.0</v>
      </c>
      <c r="F11" s="8">
        <v>6.0</v>
      </c>
      <c r="G11" s="8">
        <v>6.0</v>
      </c>
      <c r="H11" s="8">
        <v>9.0</v>
      </c>
      <c r="I11" s="8">
        <v>5.0</v>
      </c>
      <c r="J11" s="8">
        <v>4.0</v>
      </c>
      <c r="K11" s="8">
        <v>5.0</v>
      </c>
      <c r="L11" s="8">
        <v>4.0</v>
      </c>
      <c r="M11" s="8">
        <v>5.0</v>
      </c>
      <c r="N11" s="8">
        <v>3.0</v>
      </c>
      <c r="O11" s="8">
        <v>5.0</v>
      </c>
      <c r="P11" s="8">
        <v>9.0</v>
      </c>
      <c r="Q11" s="8">
        <v>9.0</v>
      </c>
      <c r="R11" s="8">
        <v>9.0</v>
      </c>
      <c r="S11" s="8">
        <v>200.0</v>
      </c>
      <c r="U11" s="10">
        <f t="shared" si="1"/>
        <v>5.933333333</v>
      </c>
      <c r="V11" s="11"/>
    </row>
    <row r="12" ht="14.25" customHeight="1">
      <c r="A12" s="7">
        <v>45476.0</v>
      </c>
      <c r="B12" s="8" t="s">
        <v>45</v>
      </c>
      <c r="C12" s="26" t="s">
        <v>46</v>
      </c>
      <c r="D12" s="8">
        <v>2.0</v>
      </c>
      <c r="E12" s="8">
        <v>5.0</v>
      </c>
      <c r="F12" s="8">
        <v>3.0</v>
      </c>
      <c r="G12" s="8">
        <v>7.0</v>
      </c>
      <c r="H12" s="8">
        <v>4.0</v>
      </c>
      <c r="I12" s="8">
        <v>1.0</v>
      </c>
      <c r="J12" s="8">
        <v>9.0</v>
      </c>
      <c r="K12" s="8">
        <v>5.0</v>
      </c>
      <c r="L12" s="8">
        <v>8.0</v>
      </c>
      <c r="M12" s="8">
        <v>2.0</v>
      </c>
      <c r="N12" s="8">
        <v>3.0</v>
      </c>
      <c r="O12" s="8">
        <v>6.0</v>
      </c>
      <c r="P12" s="8">
        <v>6.0</v>
      </c>
      <c r="Q12" s="8">
        <v>2.0</v>
      </c>
      <c r="R12" s="8">
        <v>6.0</v>
      </c>
      <c r="S12" s="8">
        <v>170.0</v>
      </c>
      <c r="U12" s="10">
        <f t="shared" si="1"/>
        <v>4.6</v>
      </c>
      <c r="V12" s="24"/>
    </row>
    <row r="13" ht="14.25" customHeight="1">
      <c r="A13" s="7">
        <v>45484.0</v>
      </c>
      <c r="B13" s="8" t="s">
        <v>47</v>
      </c>
      <c r="C13" s="9" t="s">
        <v>48</v>
      </c>
      <c r="D13" s="8">
        <v>0.0</v>
      </c>
      <c r="E13" s="8">
        <v>0.0</v>
      </c>
      <c r="F13" s="8">
        <v>0.0</v>
      </c>
      <c r="G13" s="8">
        <v>0.0</v>
      </c>
      <c r="H13" s="8">
        <v>0.0</v>
      </c>
      <c r="I13" s="8">
        <v>0.0</v>
      </c>
      <c r="J13" s="8">
        <v>0.0</v>
      </c>
      <c r="K13" s="8">
        <v>0.0</v>
      </c>
      <c r="L13" s="8">
        <v>0.0</v>
      </c>
      <c r="M13" s="8">
        <v>0.0</v>
      </c>
      <c r="N13" s="8">
        <v>0.0</v>
      </c>
      <c r="O13" s="8">
        <v>0.0</v>
      </c>
      <c r="P13" s="8">
        <v>0.0</v>
      </c>
      <c r="Q13" s="8">
        <v>0.0</v>
      </c>
      <c r="R13" s="8">
        <v>0.0</v>
      </c>
      <c r="S13" s="8">
        <v>150.0</v>
      </c>
      <c r="U13" s="10">
        <f t="shared" si="1"/>
        <v>0</v>
      </c>
      <c r="V13" s="23"/>
    </row>
    <row r="14" ht="14.25" customHeight="1">
      <c r="A14" s="7">
        <v>45485.0</v>
      </c>
      <c r="B14" s="8" t="s">
        <v>49</v>
      </c>
      <c r="C14" s="9" t="s">
        <v>50</v>
      </c>
      <c r="D14" s="8">
        <v>10.0</v>
      </c>
      <c r="E14" s="8">
        <v>8.0</v>
      </c>
      <c r="F14" s="8">
        <v>5.0</v>
      </c>
      <c r="G14" s="8">
        <v>4.0</v>
      </c>
      <c r="H14" s="8">
        <v>10.0</v>
      </c>
      <c r="I14" s="8">
        <v>3.0</v>
      </c>
      <c r="J14" s="8">
        <v>6.0</v>
      </c>
      <c r="K14" s="8">
        <v>9.0</v>
      </c>
      <c r="L14" s="8">
        <v>2.0</v>
      </c>
      <c r="M14" s="8">
        <v>5.0</v>
      </c>
      <c r="N14" s="8">
        <v>10.0</v>
      </c>
      <c r="O14" s="8">
        <v>5.0</v>
      </c>
      <c r="P14" s="8">
        <v>8.0</v>
      </c>
      <c r="Q14" s="8">
        <v>6.0</v>
      </c>
      <c r="R14" s="8">
        <v>4.0</v>
      </c>
      <c r="S14" s="8">
        <v>200.0</v>
      </c>
      <c r="U14" s="10">
        <f t="shared" si="1"/>
        <v>6.333333333</v>
      </c>
      <c r="V14" s="11"/>
    </row>
    <row r="15" ht="14.25" customHeight="1">
      <c r="A15" s="7">
        <v>45476.0</v>
      </c>
      <c r="B15" s="8" t="s">
        <v>51</v>
      </c>
      <c r="C15" s="9" t="s">
        <v>52</v>
      </c>
      <c r="D15" s="8">
        <v>0.0</v>
      </c>
      <c r="E15" s="8">
        <v>0.0</v>
      </c>
      <c r="F15" s="8">
        <v>2.0</v>
      </c>
      <c r="G15" s="8">
        <v>4.0</v>
      </c>
      <c r="H15" s="8">
        <v>5.0</v>
      </c>
      <c r="I15" s="8">
        <v>2.0</v>
      </c>
      <c r="J15" s="8">
        <v>5.0</v>
      </c>
      <c r="K15" s="8">
        <v>2.0</v>
      </c>
      <c r="L15" s="8">
        <v>5.0</v>
      </c>
      <c r="M15" s="8">
        <v>3.0</v>
      </c>
      <c r="N15" s="8">
        <v>5.0</v>
      </c>
      <c r="O15" s="8">
        <v>4.0</v>
      </c>
      <c r="P15" s="8">
        <v>5.0</v>
      </c>
      <c r="Q15" s="8">
        <v>3.0</v>
      </c>
      <c r="R15" s="8">
        <v>7.0</v>
      </c>
      <c r="S15" s="8">
        <v>174.0</v>
      </c>
      <c r="U15" s="10">
        <f t="shared" si="1"/>
        <v>3.466666667</v>
      </c>
      <c r="V15" s="11"/>
    </row>
    <row r="16" ht="14.25" customHeight="1">
      <c r="A16" s="7">
        <v>45476.0</v>
      </c>
      <c r="B16" s="8" t="s">
        <v>53</v>
      </c>
      <c r="C16" s="9" t="s">
        <v>54</v>
      </c>
      <c r="D16" s="8">
        <v>5.0</v>
      </c>
      <c r="E16" s="8">
        <v>8.0</v>
      </c>
      <c r="F16" s="8">
        <v>8.0</v>
      </c>
      <c r="G16" s="8">
        <v>8.0</v>
      </c>
      <c r="H16" s="8">
        <v>8.0</v>
      </c>
      <c r="I16" s="8">
        <v>4.0</v>
      </c>
      <c r="J16" s="8">
        <v>5.0</v>
      </c>
      <c r="K16" s="8">
        <v>5.0</v>
      </c>
      <c r="L16" s="8">
        <v>7.0</v>
      </c>
      <c r="M16" s="8">
        <v>6.0</v>
      </c>
      <c r="N16" s="8">
        <v>5.0</v>
      </c>
      <c r="O16" s="8">
        <v>8.0</v>
      </c>
      <c r="P16" s="8">
        <v>6.0</v>
      </c>
      <c r="Q16" s="8">
        <v>8.0</v>
      </c>
      <c r="R16" s="8">
        <v>7.0</v>
      </c>
      <c r="S16" s="8">
        <v>189.0</v>
      </c>
      <c r="U16" s="10">
        <f t="shared" si="1"/>
        <v>6.533333333</v>
      </c>
      <c r="V16" s="11"/>
    </row>
    <row r="17" ht="14.25" customHeight="1">
      <c r="A17" s="7">
        <v>45476.0</v>
      </c>
      <c r="B17" s="8" t="s">
        <v>58</v>
      </c>
      <c r="C17" s="9" t="s">
        <v>59</v>
      </c>
      <c r="D17" s="8">
        <v>4.0</v>
      </c>
      <c r="E17" s="8">
        <v>4.0</v>
      </c>
      <c r="F17" s="8">
        <v>4.0</v>
      </c>
      <c r="G17" s="8">
        <v>4.0</v>
      </c>
      <c r="H17" s="8">
        <v>5.0</v>
      </c>
      <c r="I17" s="8">
        <v>4.0</v>
      </c>
      <c r="J17" s="8">
        <v>3.0</v>
      </c>
      <c r="K17" s="8">
        <v>6.0</v>
      </c>
      <c r="L17" s="8">
        <v>4.0</v>
      </c>
      <c r="M17" s="8">
        <v>2.0</v>
      </c>
      <c r="N17" s="8">
        <v>5.0</v>
      </c>
      <c r="O17" s="8">
        <v>5.0</v>
      </c>
      <c r="P17" s="8">
        <v>5.0</v>
      </c>
      <c r="Q17" s="8">
        <v>5.0</v>
      </c>
      <c r="R17" s="8">
        <v>5.0</v>
      </c>
      <c r="S17" s="8">
        <v>185.0</v>
      </c>
      <c r="T17" s="8" t="s">
        <v>60</v>
      </c>
      <c r="U17" s="10">
        <f t="shared" si="1"/>
        <v>4.333333333</v>
      </c>
      <c r="V17" s="11"/>
    </row>
    <row r="18" ht="14.25" customHeight="1">
      <c r="A18" s="27">
        <v>45545.0</v>
      </c>
      <c r="B18" s="28" t="s">
        <v>61</v>
      </c>
      <c r="C18" s="29" t="s">
        <v>62</v>
      </c>
      <c r="D18" s="30">
        <v>5.0</v>
      </c>
      <c r="E18" s="30">
        <v>8.0</v>
      </c>
      <c r="F18" s="30">
        <v>10.0</v>
      </c>
      <c r="G18" s="30">
        <v>8.0</v>
      </c>
      <c r="H18" s="30">
        <v>7.0</v>
      </c>
      <c r="I18" s="30">
        <v>9.0</v>
      </c>
      <c r="J18" s="30">
        <v>10.0</v>
      </c>
      <c r="K18" s="30">
        <v>8.0</v>
      </c>
      <c r="L18" s="30">
        <v>9.0</v>
      </c>
      <c r="M18" s="30">
        <v>7.0</v>
      </c>
      <c r="N18" s="30">
        <v>6.0</v>
      </c>
      <c r="O18" s="30">
        <v>6.0</v>
      </c>
      <c r="P18" s="30">
        <v>5.0</v>
      </c>
      <c r="Q18" s="30">
        <v>4.0</v>
      </c>
      <c r="R18" s="30">
        <v>3.0</v>
      </c>
      <c r="S18" s="30">
        <v>169.0</v>
      </c>
      <c r="U18" s="10">
        <f t="shared" si="1"/>
        <v>7</v>
      </c>
    </row>
    <row r="19" ht="14.25" customHeight="1">
      <c r="A19" s="27">
        <v>45504.0</v>
      </c>
      <c r="B19" s="28" t="s">
        <v>63</v>
      </c>
      <c r="C19" s="29" t="s">
        <v>64</v>
      </c>
      <c r="D19" s="30">
        <v>2.0</v>
      </c>
      <c r="E19" s="30">
        <v>1.0</v>
      </c>
      <c r="F19" s="30">
        <v>5.0</v>
      </c>
      <c r="G19" s="30">
        <v>4.0</v>
      </c>
      <c r="H19" s="30">
        <v>4.0</v>
      </c>
      <c r="I19" s="30">
        <v>3.0</v>
      </c>
      <c r="J19" s="30">
        <v>1.0</v>
      </c>
      <c r="K19" s="30">
        <v>2.0</v>
      </c>
      <c r="L19" s="30">
        <v>2.0</v>
      </c>
      <c r="M19" s="30">
        <v>3.0</v>
      </c>
      <c r="N19" s="30">
        <v>2.0</v>
      </c>
      <c r="O19" s="30">
        <v>2.0</v>
      </c>
      <c r="P19" s="30">
        <v>1.0</v>
      </c>
      <c r="Q19" s="30">
        <v>3.0</v>
      </c>
      <c r="R19" s="30">
        <v>2.0</v>
      </c>
      <c r="S19" s="30">
        <v>154.0</v>
      </c>
      <c r="U19" s="10">
        <f t="shared" si="1"/>
        <v>2.466666667</v>
      </c>
    </row>
    <row r="20" ht="14.25" customHeight="1">
      <c r="A20" s="27">
        <v>45506.0</v>
      </c>
      <c r="B20" s="28" t="s">
        <v>63</v>
      </c>
      <c r="C20" s="28" t="s">
        <v>68</v>
      </c>
      <c r="D20" s="30">
        <v>0.0</v>
      </c>
      <c r="E20" s="30">
        <v>5.0</v>
      </c>
      <c r="F20" s="30">
        <v>5.0</v>
      </c>
      <c r="G20" s="30">
        <v>3.0</v>
      </c>
      <c r="H20" s="30">
        <v>0.0</v>
      </c>
      <c r="I20" s="30">
        <v>2.0</v>
      </c>
      <c r="J20" s="30">
        <v>1.0</v>
      </c>
      <c r="K20" s="30">
        <v>0.0</v>
      </c>
      <c r="L20" s="30">
        <v>2.0</v>
      </c>
      <c r="M20" s="30">
        <v>0.0</v>
      </c>
      <c r="N20" s="30">
        <v>0.0</v>
      </c>
      <c r="O20" s="30">
        <v>0.0</v>
      </c>
      <c r="P20" s="30">
        <v>0.0</v>
      </c>
      <c r="Q20" s="30">
        <v>0.0</v>
      </c>
      <c r="R20" s="30">
        <v>0.0</v>
      </c>
      <c r="S20" s="30">
        <v>159.0</v>
      </c>
      <c r="U20" s="10">
        <f t="shared" si="1"/>
        <v>1.2</v>
      </c>
    </row>
    <row r="21" ht="14.25" customHeight="1">
      <c r="A21" s="27">
        <v>45505.0</v>
      </c>
      <c r="B21" s="28" t="s">
        <v>15</v>
      </c>
      <c r="C21" s="29" t="s">
        <v>69</v>
      </c>
      <c r="D21" s="30">
        <v>0.0</v>
      </c>
      <c r="E21" s="30">
        <v>0.0</v>
      </c>
      <c r="F21" s="30">
        <v>2.0</v>
      </c>
      <c r="G21" s="30">
        <v>2.0</v>
      </c>
      <c r="H21" s="30">
        <v>2.0</v>
      </c>
      <c r="U21" s="10">
        <f t="shared" si="1"/>
        <v>1.2</v>
      </c>
    </row>
    <row r="22" ht="14.25" customHeight="1">
      <c r="C22" s="26" t="s">
        <v>4</v>
      </c>
      <c r="D22" s="34">
        <f t="shared" ref="D22:R22" si="2">AVERAGE(D2:D21)</f>
        <v>2.6</v>
      </c>
      <c r="E22" s="34">
        <f t="shared" si="2"/>
        <v>3.8</v>
      </c>
      <c r="F22" s="34">
        <f t="shared" si="2"/>
        <v>4.2</v>
      </c>
      <c r="G22" s="34">
        <f t="shared" si="2"/>
        <v>4.45</v>
      </c>
      <c r="H22" s="34">
        <f t="shared" si="2"/>
        <v>5.05</v>
      </c>
      <c r="I22" s="34">
        <f t="shared" si="2"/>
        <v>3.578947368</v>
      </c>
      <c r="J22" s="34">
        <f t="shared" si="2"/>
        <v>3.947368421</v>
      </c>
      <c r="K22" s="34">
        <f t="shared" si="2"/>
        <v>3.473684211</v>
      </c>
      <c r="L22" s="34">
        <f t="shared" si="2"/>
        <v>3.315789474</v>
      </c>
      <c r="M22" s="34">
        <f t="shared" si="2"/>
        <v>3.315789474</v>
      </c>
      <c r="N22" s="34">
        <f t="shared" si="2"/>
        <v>3.736842105</v>
      </c>
      <c r="O22" s="34">
        <f t="shared" si="2"/>
        <v>4.105263158</v>
      </c>
      <c r="P22" s="34">
        <f t="shared" si="2"/>
        <v>4</v>
      </c>
      <c r="Q22" s="34">
        <f t="shared" si="2"/>
        <v>4.157894737</v>
      </c>
      <c r="R22" s="34">
        <f t="shared" si="2"/>
        <v>4.631578947</v>
      </c>
    </row>
    <row r="23" ht="14.25" customHeight="1">
      <c r="C23" s="9"/>
    </row>
    <row r="24" ht="14.25" customHeight="1">
      <c r="C24" s="9"/>
    </row>
    <row r="25" ht="14.25" customHeight="1">
      <c r="A25" s="41"/>
      <c r="B25" s="41"/>
      <c r="C25" s="41"/>
      <c r="D25" s="41"/>
      <c r="S25" s="41"/>
      <c r="T25" s="41"/>
      <c r="U25" s="41"/>
      <c r="V25" s="41"/>
      <c r="W25" s="41"/>
      <c r="X25" s="41"/>
      <c r="Y25" s="41"/>
    </row>
    <row r="26" ht="14.25" customHeight="1">
      <c r="A26" s="41"/>
      <c r="B26" s="41"/>
      <c r="C26" s="41"/>
      <c r="S26" s="41"/>
      <c r="T26" s="41"/>
      <c r="U26" s="41"/>
      <c r="V26" s="41"/>
      <c r="W26" s="41"/>
      <c r="X26" s="41"/>
      <c r="Y26" s="41"/>
    </row>
    <row r="27" ht="14.25" customHeight="1">
      <c r="C27" s="26"/>
      <c r="D27" s="34"/>
      <c r="E27" s="34"/>
      <c r="F27" s="34"/>
      <c r="G27" s="34"/>
      <c r="H27" s="34"/>
      <c r="L27" s="34"/>
      <c r="M27" s="34"/>
      <c r="N27" s="34"/>
      <c r="O27" s="34"/>
      <c r="P27" s="34"/>
      <c r="Q27" s="34"/>
      <c r="R27" s="34"/>
    </row>
    <row r="28" ht="14.25" customHeight="1">
      <c r="D28" s="34"/>
      <c r="E28" s="42" t="s">
        <v>76</v>
      </c>
      <c r="F28" s="43"/>
      <c r="G28" s="44"/>
    </row>
    <row r="29" ht="14.25" customHeight="1">
      <c r="D29" s="34"/>
      <c r="E29" s="45"/>
      <c r="G29" s="46"/>
    </row>
    <row r="30" ht="14.25" customHeight="1">
      <c r="D30" s="34"/>
      <c r="E30" s="47"/>
      <c r="F30" s="48"/>
      <c r="G30" s="49"/>
      <c r="P30" s="39" t="s">
        <v>77</v>
      </c>
      <c r="Q30" s="50"/>
      <c r="R30" s="51"/>
    </row>
    <row r="31" ht="14.25" customHeight="1">
      <c r="D31" s="34"/>
      <c r="E31" s="35" t="s">
        <v>72</v>
      </c>
      <c r="F31" s="36" t="s">
        <v>73</v>
      </c>
      <c r="G31" s="35" t="s">
        <v>74</v>
      </c>
      <c r="H31" s="39"/>
      <c r="P31" s="50"/>
      <c r="Q31" s="50"/>
      <c r="R31" s="51"/>
    </row>
    <row r="32" ht="14.25" customHeight="1">
      <c r="D32" s="34"/>
      <c r="E32" s="35">
        <v>0.0</v>
      </c>
      <c r="F32" s="37">
        <f t="shared" ref="F32:F42" si="3">COUNTIF($D$2:$R$21,E32)</f>
        <v>66</v>
      </c>
      <c r="G32" s="38">
        <f t="shared" ref="G32:G42" si="4">F32/(SUM($F$32:$F$42))*100</f>
        <v>22.75862069</v>
      </c>
      <c r="J32" s="42" t="s">
        <v>78</v>
      </c>
      <c r="K32" s="43"/>
      <c r="L32" s="44"/>
      <c r="P32" s="50" t="s">
        <v>79</v>
      </c>
      <c r="R32" s="46"/>
    </row>
    <row r="33" ht="14.25" customHeight="1">
      <c r="D33" s="34"/>
      <c r="E33" s="35">
        <v>1.0</v>
      </c>
      <c r="F33" s="37">
        <f t="shared" si="3"/>
        <v>12</v>
      </c>
      <c r="G33" s="38">
        <f t="shared" si="4"/>
        <v>4.137931034</v>
      </c>
      <c r="J33" s="45"/>
      <c r="L33" s="46"/>
      <c r="R33" s="46"/>
    </row>
    <row r="34" ht="14.25" customHeight="1">
      <c r="D34" s="34"/>
      <c r="E34" s="35">
        <v>2.0</v>
      </c>
      <c r="F34" s="37">
        <f t="shared" si="3"/>
        <v>25</v>
      </c>
      <c r="G34" s="38">
        <f t="shared" si="4"/>
        <v>8.620689655</v>
      </c>
      <c r="J34" s="52" t="s">
        <v>80</v>
      </c>
      <c r="K34" s="53" t="s">
        <v>81</v>
      </c>
      <c r="L34" s="54" t="s">
        <v>82</v>
      </c>
      <c r="R34" s="46"/>
    </row>
    <row r="35" ht="14.25" customHeight="1">
      <c r="D35" s="34"/>
      <c r="E35" s="35">
        <v>3.0</v>
      </c>
      <c r="F35" s="37">
        <f t="shared" si="3"/>
        <v>20</v>
      </c>
      <c r="G35" s="38">
        <f t="shared" si="4"/>
        <v>6.896551724</v>
      </c>
      <c r="J35" s="55">
        <v>2.6</v>
      </c>
      <c r="K35" s="56">
        <v>3.5789473684210527</v>
      </c>
      <c r="L35" s="57">
        <v>3.736842105263158</v>
      </c>
      <c r="R35" s="46"/>
    </row>
    <row r="36" ht="14.25" customHeight="1">
      <c r="D36" s="34"/>
      <c r="E36" s="35">
        <v>4.0</v>
      </c>
      <c r="F36" s="37">
        <f t="shared" si="3"/>
        <v>25</v>
      </c>
      <c r="G36" s="38">
        <f t="shared" si="4"/>
        <v>8.620689655</v>
      </c>
      <c r="J36" s="58">
        <v>3.8</v>
      </c>
      <c r="K36" s="34">
        <v>3.9473684210526314</v>
      </c>
      <c r="L36" s="59">
        <v>4.105263157894737</v>
      </c>
      <c r="R36" s="46"/>
    </row>
    <row r="37" ht="14.25" customHeight="1">
      <c r="D37" s="34"/>
      <c r="E37" s="35">
        <v>5.0</v>
      </c>
      <c r="F37" s="37">
        <f t="shared" si="3"/>
        <v>81</v>
      </c>
      <c r="G37" s="38">
        <f t="shared" si="4"/>
        <v>27.93103448</v>
      </c>
      <c r="J37" s="58">
        <v>4.2</v>
      </c>
      <c r="K37" s="34">
        <v>3.473684210526316</v>
      </c>
      <c r="L37" s="59">
        <v>4.0</v>
      </c>
      <c r="R37" s="46"/>
    </row>
    <row r="38" ht="14.25" customHeight="1">
      <c r="D38" s="34"/>
      <c r="E38" s="35">
        <v>6.0</v>
      </c>
      <c r="F38" s="37">
        <f t="shared" si="3"/>
        <v>14</v>
      </c>
      <c r="G38" s="38">
        <f t="shared" si="4"/>
        <v>4.827586207</v>
      </c>
      <c r="J38" s="58">
        <v>4.45</v>
      </c>
      <c r="K38" s="34">
        <v>3.3157894736842106</v>
      </c>
      <c r="L38" s="59">
        <v>4.157894736842105</v>
      </c>
      <c r="R38" s="46"/>
    </row>
    <row r="39" ht="14.25" customHeight="1">
      <c r="C39" s="26"/>
      <c r="D39" s="34"/>
      <c r="E39" s="35">
        <v>7.0</v>
      </c>
      <c r="F39" s="37">
        <f t="shared" si="3"/>
        <v>6</v>
      </c>
      <c r="G39" s="38">
        <f t="shared" si="4"/>
        <v>2.068965517</v>
      </c>
      <c r="J39" s="60">
        <v>5.05</v>
      </c>
      <c r="K39" s="61">
        <v>3.3157894736842106</v>
      </c>
      <c r="L39" s="62">
        <v>4.631578947368421</v>
      </c>
      <c r="R39" s="46"/>
    </row>
    <row r="40" ht="14.25" customHeight="1">
      <c r="C40" s="26"/>
      <c r="D40" s="34"/>
      <c r="E40" s="35">
        <v>8.0</v>
      </c>
      <c r="F40" s="37">
        <f t="shared" si="3"/>
        <v>13</v>
      </c>
      <c r="G40" s="38">
        <f t="shared" si="4"/>
        <v>4.482758621</v>
      </c>
      <c r="I40" s="63" t="s">
        <v>83</v>
      </c>
      <c r="J40" s="64">
        <f t="shared" ref="J40:K40" si="5">_xlfn.T.TEST(J35:J39,K35:K39,1,1)</f>
        <v>0.1803315332</v>
      </c>
      <c r="K40" s="65">
        <f t="shared" si="5"/>
        <v>0.02626908582</v>
      </c>
      <c r="L40" s="66">
        <f>_xlfn.T.TEST(L35:L39,J35:J39,1,1)</f>
        <v>0.3642200255</v>
      </c>
    </row>
    <row r="41" ht="14.25" customHeight="1">
      <c r="C41" s="26"/>
      <c r="D41" s="34"/>
      <c r="E41" s="35">
        <v>9.0</v>
      </c>
      <c r="F41" s="37">
        <f t="shared" si="3"/>
        <v>8</v>
      </c>
      <c r="G41" s="38">
        <f t="shared" si="4"/>
        <v>2.75862069</v>
      </c>
      <c r="I41" s="67" t="s">
        <v>84</v>
      </c>
      <c r="J41" s="68" t="s">
        <v>85</v>
      </c>
      <c r="K41" s="43"/>
      <c r="L41" s="43"/>
      <c r="M41" s="43"/>
      <c r="N41" s="44"/>
    </row>
    <row r="42" ht="14.25" customHeight="1">
      <c r="C42" s="26"/>
      <c r="D42" s="34"/>
      <c r="E42" s="35">
        <v>10.0</v>
      </c>
      <c r="F42" s="37">
        <f t="shared" si="3"/>
        <v>20</v>
      </c>
      <c r="G42" s="38">
        <f t="shared" si="4"/>
        <v>6.896551724</v>
      </c>
      <c r="I42" s="69"/>
      <c r="J42" s="45"/>
      <c r="N42" s="46"/>
    </row>
    <row r="43" ht="14.25" customHeight="1">
      <c r="C43" s="26"/>
      <c r="D43" s="39" t="s">
        <v>84</v>
      </c>
      <c r="E43" s="50" t="s">
        <v>86</v>
      </c>
      <c r="H43" s="70"/>
      <c r="I43" s="69"/>
      <c r="J43" s="45"/>
      <c r="N43" s="46"/>
    </row>
    <row r="44" ht="14.25" customHeight="1">
      <c r="C44" s="26"/>
      <c r="D44" s="34"/>
      <c r="H44" s="70"/>
      <c r="I44" s="69"/>
      <c r="J44" s="47"/>
      <c r="K44" s="48"/>
      <c r="L44" s="48"/>
      <c r="M44" s="48"/>
      <c r="N44" s="49"/>
    </row>
    <row r="45" ht="14.25" customHeight="1">
      <c r="C45" s="9"/>
      <c r="H45" s="70"/>
      <c r="I45" s="69"/>
      <c r="J45" s="68" t="s">
        <v>87</v>
      </c>
      <c r="K45" s="43"/>
      <c r="L45" s="43"/>
      <c r="M45" s="43"/>
      <c r="N45" s="44"/>
    </row>
    <row r="46" ht="14.25" customHeight="1">
      <c r="C46" s="9"/>
      <c r="H46" s="70"/>
      <c r="I46" s="69"/>
      <c r="J46" s="45"/>
      <c r="N46" s="46"/>
    </row>
    <row r="47" ht="14.25" customHeight="1">
      <c r="C47" s="9"/>
      <c r="H47" s="70"/>
      <c r="I47" s="71"/>
      <c r="J47" s="47"/>
      <c r="K47" s="48"/>
      <c r="L47" s="48"/>
      <c r="M47" s="48"/>
      <c r="N47" s="49"/>
    </row>
    <row r="48" ht="14.25" customHeight="1">
      <c r="C48" s="9"/>
      <c r="H48" s="70"/>
    </row>
    <row r="49" ht="14.25" customHeight="1">
      <c r="C49" s="9"/>
    </row>
    <row r="50" ht="14.25" customHeight="1">
      <c r="C50" s="9"/>
    </row>
    <row r="51" ht="14.25" customHeight="1">
      <c r="A51" s="39">
        <v>0.0</v>
      </c>
      <c r="B51" s="34">
        <v>2.6</v>
      </c>
      <c r="C51" s="9"/>
    </row>
    <row r="52" ht="14.25" customHeight="1">
      <c r="A52" s="39">
        <v>1.0</v>
      </c>
      <c r="B52" s="34">
        <v>3.8</v>
      </c>
      <c r="C52" s="9"/>
      <c r="N52" s="72" t="s">
        <v>88</v>
      </c>
    </row>
    <row r="53" ht="14.25" customHeight="1">
      <c r="A53" s="39">
        <v>2.0</v>
      </c>
      <c r="B53" s="34">
        <v>4.2</v>
      </c>
      <c r="C53" s="9"/>
      <c r="N53" s="72" t="s">
        <v>89</v>
      </c>
    </row>
    <row r="54" ht="14.25" customHeight="1">
      <c r="A54" s="39">
        <v>3.0</v>
      </c>
      <c r="B54" s="34">
        <v>4.45</v>
      </c>
      <c r="C54" s="9"/>
      <c r="N54" s="50" t="s">
        <v>90</v>
      </c>
    </row>
    <row r="55" ht="14.25" customHeight="1">
      <c r="A55" s="39">
        <v>4.0</v>
      </c>
      <c r="B55" s="34">
        <v>5.05</v>
      </c>
      <c r="C55" s="9"/>
      <c r="E55" s="34"/>
      <c r="F55" s="34"/>
      <c r="G55" s="34"/>
      <c r="H55" s="34"/>
      <c r="I55" s="34"/>
      <c r="J55" s="34"/>
      <c r="K55" s="34"/>
      <c r="L55" s="34"/>
      <c r="M55" s="34"/>
      <c r="S55" s="34"/>
    </row>
    <row r="56" ht="14.25" customHeight="1">
      <c r="A56" s="39">
        <v>5.0</v>
      </c>
      <c r="B56" s="34">
        <v>3.5789473684210527</v>
      </c>
      <c r="C56" s="9"/>
    </row>
    <row r="57" ht="14.25" customHeight="1">
      <c r="A57" s="39">
        <v>6.0</v>
      </c>
      <c r="B57" s="34">
        <v>3.9473684210526314</v>
      </c>
      <c r="C57" s="9"/>
      <c r="N57" s="72" t="s">
        <v>91</v>
      </c>
    </row>
    <row r="58" ht="14.25" customHeight="1">
      <c r="A58" s="39">
        <v>7.0</v>
      </c>
      <c r="B58" s="34">
        <v>3.473684210526316</v>
      </c>
      <c r="C58" s="9"/>
      <c r="N58" s="50" t="s">
        <v>92</v>
      </c>
    </row>
    <row r="59" ht="14.25" customHeight="1">
      <c r="A59" s="39">
        <v>8.0</v>
      </c>
      <c r="B59" s="34">
        <v>3.3157894736842106</v>
      </c>
      <c r="C59" s="9"/>
    </row>
    <row r="60" ht="14.25" customHeight="1">
      <c r="A60" s="39">
        <v>9.0</v>
      </c>
      <c r="B60" s="34">
        <v>3.3157894736842106</v>
      </c>
      <c r="C60" s="9"/>
    </row>
    <row r="61" ht="14.25" customHeight="1">
      <c r="A61" s="39">
        <v>10.0</v>
      </c>
      <c r="B61" s="34">
        <v>3.736842105263158</v>
      </c>
      <c r="C61" s="9"/>
    </row>
    <row r="62" ht="14.25" customHeight="1">
      <c r="A62" s="39">
        <v>11.0</v>
      </c>
      <c r="B62" s="34">
        <v>4.105263157894737</v>
      </c>
      <c r="C62" s="9"/>
    </row>
    <row r="63" ht="14.25" customHeight="1">
      <c r="A63" s="39">
        <v>12.0</v>
      </c>
      <c r="B63" s="34">
        <v>4.0</v>
      </c>
      <c r="C63" s="9"/>
      <c r="N63" s="72" t="s">
        <v>93</v>
      </c>
    </row>
    <row r="64" ht="14.25" customHeight="1">
      <c r="A64" s="39">
        <v>13.0</v>
      </c>
      <c r="B64" s="34">
        <v>4.157894736842105</v>
      </c>
      <c r="C64" s="9"/>
      <c r="N64" s="50" t="s">
        <v>94</v>
      </c>
    </row>
    <row r="65" ht="14.25" customHeight="1">
      <c r="A65" s="39">
        <v>14.0</v>
      </c>
      <c r="B65" s="34">
        <v>4.631578947368421</v>
      </c>
      <c r="C65" s="9"/>
    </row>
    <row r="66" ht="14.25" customHeight="1">
      <c r="A66" s="39"/>
      <c r="C66" s="9"/>
    </row>
    <row r="67" ht="14.25" customHeight="1">
      <c r="C67" s="9"/>
      <c r="N67" s="39" t="s">
        <v>95</v>
      </c>
      <c r="O67" s="50" t="s">
        <v>96</v>
      </c>
    </row>
    <row r="68" ht="14.25" customHeight="1">
      <c r="C68" s="9"/>
    </row>
    <row r="69" ht="14.25" customHeight="1">
      <c r="C69" s="9"/>
    </row>
    <row r="70" ht="14.25" customHeight="1">
      <c r="C70" s="9"/>
    </row>
    <row r="71" ht="14.25" customHeight="1">
      <c r="C71" s="9"/>
    </row>
    <row r="72" ht="14.25" customHeight="1">
      <c r="C72" s="9"/>
    </row>
    <row r="73" ht="14.25" customHeight="1">
      <c r="C73" s="9"/>
    </row>
    <row r="74" ht="14.25" customHeight="1">
      <c r="C74" s="9"/>
    </row>
    <row r="75" ht="14.25" customHeight="1">
      <c r="C75" s="9"/>
    </row>
    <row r="76" ht="14.25" customHeight="1">
      <c r="C76" s="9"/>
    </row>
    <row r="77" ht="14.25" customHeight="1">
      <c r="C77" s="9"/>
    </row>
    <row r="78" ht="14.25" customHeight="1">
      <c r="C78" s="9"/>
    </row>
    <row r="79" ht="14.25" customHeight="1">
      <c r="C79" s="9"/>
    </row>
    <row r="80" ht="14.25" customHeight="1">
      <c r="C80" s="9"/>
    </row>
    <row r="81" ht="14.25" customHeight="1">
      <c r="C81" s="9"/>
    </row>
    <row r="82" ht="14.25" customHeight="1">
      <c r="C82" s="9"/>
    </row>
    <row r="83" ht="14.25" customHeight="1">
      <c r="C83" s="9"/>
    </row>
    <row r="84" ht="14.25" customHeight="1">
      <c r="C84" s="9"/>
    </row>
    <row r="85" ht="14.25" customHeight="1">
      <c r="C85" s="9"/>
    </row>
    <row r="86" ht="14.25" customHeight="1">
      <c r="C86" s="9"/>
    </row>
    <row r="87" ht="14.25" customHeight="1">
      <c r="C87" s="9"/>
    </row>
    <row r="88" ht="14.25" customHeight="1">
      <c r="C88" s="9"/>
    </row>
    <row r="89" ht="14.25" customHeight="1">
      <c r="C89" s="9"/>
    </row>
    <row r="90" ht="14.25" customHeight="1">
      <c r="C90" s="9"/>
    </row>
    <row r="91" ht="14.25" customHeight="1">
      <c r="C91" s="9"/>
    </row>
    <row r="92" ht="14.25" customHeight="1">
      <c r="C92" s="9"/>
    </row>
    <row r="93" ht="14.25" customHeight="1">
      <c r="C93" s="9"/>
    </row>
    <row r="94" ht="14.25" customHeight="1">
      <c r="C94" s="9"/>
    </row>
    <row r="95" ht="14.25" customHeight="1">
      <c r="C95" s="9"/>
    </row>
    <row r="96" ht="14.25" customHeight="1">
      <c r="C96" s="9"/>
    </row>
    <row r="97" ht="14.25" customHeight="1">
      <c r="C97" s="9"/>
    </row>
    <row r="98" ht="14.25" customHeight="1">
      <c r="C98" s="9"/>
    </row>
    <row r="99" ht="14.25" customHeight="1">
      <c r="C99" s="9"/>
    </row>
    <row r="100" ht="14.25" customHeight="1">
      <c r="C100" s="9"/>
    </row>
    <row r="101" ht="14.25" customHeight="1">
      <c r="C101" s="9"/>
    </row>
    <row r="102" ht="14.25" customHeight="1">
      <c r="C102" s="9"/>
    </row>
    <row r="103" ht="14.25" customHeight="1">
      <c r="C103" s="9"/>
    </row>
    <row r="104" ht="14.25" customHeight="1">
      <c r="C104" s="9"/>
    </row>
    <row r="105" ht="14.25" customHeight="1">
      <c r="C105" s="9"/>
    </row>
    <row r="106" ht="14.25" customHeight="1">
      <c r="C106" s="9"/>
    </row>
    <row r="107" ht="14.25" customHeight="1">
      <c r="C107" s="9"/>
    </row>
    <row r="108" ht="14.25" customHeight="1">
      <c r="C108" s="9"/>
    </row>
    <row r="109" ht="14.25" customHeight="1">
      <c r="C109" s="9"/>
    </row>
    <row r="110" ht="14.25" customHeight="1">
      <c r="C110" s="9"/>
    </row>
    <row r="111" ht="14.25" customHeight="1">
      <c r="C111" s="9"/>
    </row>
    <row r="112" ht="14.25" customHeight="1">
      <c r="C112" s="9"/>
    </row>
    <row r="113" ht="14.25" customHeight="1">
      <c r="C113" s="9"/>
    </row>
    <row r="114" ht="14.25" customHeight="1">
      <c r="C114" s="9"/>
    </row>
    <row r="115" ht="14.25" customHeight="1">
      <c r="C115" s="9"/>
    </row>
    <row r="116" ht="14.25" customHeight="1">
      <c r="C116" s="9"/>
    </row>
    <row r="117" ht="14.25" customHeight="1">
      <c r="C117" s="9"/>
    </row>
    <row r="118" ht="14.25" customHeight="1">
      <c r="C118" s="9"/>
    </row>
    <row r="119" ht="14.25" customHeight="1">
      <c r="C119" s="9"/>
    </row>
    <row r="120" ht="14.25" customHeight="1">
      <c r="C120" s="9"/>
    </row>
    <row r="121" ht="14.25" customHeight="1">
      <c r="C121" s="9"/>
    </row>
    <row r="122" ht="14.25" customHeight="1">
      <c r="C122" s="9"/>
    </row>
    <row r="123" ht="14.25" customHeight="1">
      <c r="C123" s="9"/>
    </row>
    <row r="124" ht="14.25" customHeight="1">
      <c r="C124" s="9"/>
    </row>
    <row r="125" ht="14.25" customHeight="1">
      <c r="C125" s="9"/>
    </row>
    <row r="126" ht="14.25" customHeight="1">
      <c r="C126" s="9"/>
    </row>
    <row r="127" ht="14.25" customHeight="1">
      <c r="C127" s="9"/>
    </row>
    <row r="128" ht="14.25" customHeight="1">
      <c r="C128" s="9"/>
    </row>
    <row r="129" ht="14.25" customHeight="1">
      <c r="C129" s="9"/>
    </row>
    <row r="130" ht="14.25" customHeight="1">
      <c r="C130" s="9"/>
    </row>
    <row r="131" ht="14.25" customHeight="1">
      <c r="C131" s="9"/>
    </row>
    <row r="132" ht="14.25" customHeight="1">
      <c r="C132" s="9"/>
    </row>
    <row r="133" ht="14.25" customHeight="1">
      <c r="C133" s="9"/>
    </row>
    <row r="134" ht="14.25" customHeight="1">
      <c r="C134" s="9"/>
    </row>
    <row r="135" ht="14.25" customHeight="1">
      <c r="C135" s="9"/>
    </row>
    <row r="136" ht="14.25" customHeight="1">
      <c r="C136" s="9"/>
    </row>
    <row r="137" ht="14.25" customHeight="1">
      <c r="C137" s="9"/>
    </row>
    <row r="138" ht="14.25" customHeight="1">
      <c r="C138" s="9"/>
    </row>
    <row r="139" ht="14.25" customHeight="1">
      <c r="C139" s="9"/>
    </row>
    <row r="140" ht="14.25" customHeight="1">
      <c r="C140" s="9"/>
    </row>
    <row r="141" ht="14.25" customHeight="1">
      <c r="C141" s="9"/>
    </row>
    <row r="142" ht="14.25" customHeight="1">
      <c r="C142" s="9"/>
    </row>
    <row r="143" ht="14.25" customHeight="1">
      <c r="C143" s="9"/>
    </row>
    <row r="144" ht="14.25" customHeight="1">
      <c r="C144" s="9"/>
    </row>
    <row r="145" ht="14.25" customHeight="1">
      <c r="C145" s="9"/>
    </row>
    <row r="146" ht="14.25" customHeight="1">
      <c r="C146" s="9"/>
    </row>
    <row r="147" ht="14.25" customHeight="1">
      <c r="C147" s="9"/>
    </row>
    <row r="148" ht="14.25" customHeight="1">
      <c r="C148" s="9"/>
    </row>
    <row r="149" ht="14.25" customHeight="1">
      <c r="C149" s="9"/>
    </row>
    <row r="150" ht="14.25" customHeight="1">
      <c r="C150" s="9"/>
    </row>
    <row r="151" ht="14.25" customHeight="1">
      <c r="C151" s="9"/>
    </row>
    <row r="152" ht="14.25" customHeight="1">
      <c r="C152" s="9"/>
    </row>
    <row r="153" ht="14.25" customHeight="1">
      <c r="C153" s="9"/>
    </row>
    <row r="154" ht="14.25" customHeight="1">
      <c r="C154" s="9"/>
    </row>
    <row r="155" ht="14.25" customHeight="1">
      <c r="C155" s="9"/>
    </row>
    <row r="156" ht="14.25" customHeight="1">
      <c r="C156" s="9"/>
    </row>
    <row r="157" ht="14.25" customHeight="1">
      <c r="C157" s="9"/>
    </row>
    <row r="158" ht="14.25" customHeight="1">
      <c r="C158" s="9"/>
    </row>
    <row r="159" ht="14.25" customHeight="1">
      <c r="C159" s="9"/>
    </row>
    <row r="160" ht="14.25" customHeight="1">
      <c r="C160" s="9"/>
    </row>
    <row r="161" ht="14.25" customHeight="1">
      <c r="C161" s="9"/>
    </row>
    <row r="162" ht="14.25" customHeight="1">
      <c r="C162" s="9"/>
    </row>
    <row r="163" ht="14.25" customHeight="1">
      <c r="C163" s="9"/>
    </row>
    <row r="164" ht="14.25" customHeight="1">
      <c r="C164" s="9"/>
    </row>
    <row r="165" ht="14.25" customHeight="1">
      <c r="C165" s="9"/>
    </row>
    <row r="166" ht="14.25" customHeight="1">
      <c r="C166" s="9"/>
    </row>
    <row r="167" ht="14.25" customHeight="1">
      <c r="C167" s="9"/>
    </row>
    <row r="168" ht="14.25" customHeight="1">
      <c r="C168" s="9"/>
    </row>
    <row r="169" ht="14.25" customHeight="1">
      <c r="C169" s="9"/>
    </row>
    <row r="170" ht="14.25" customHeight="1">
      <c r="C170" s="9"/>
    </row>
    <row r="171" ht="14.25" customHeight="1">
      <c r="C171" s="9"/>
    </row>
    <row r="172" ht="14.25" customHeight="1">
      <c r="C172" s="9"/>
    </row>
    <row r="173" ht="14.25" customHeight="1">
      <c r="C173" s="9"/>
    </row>
    <row r="174" ht="14.25" customHeight="1">
      <c r="C174" s="9"/>
    </row>
    <row r="175" ht="14.25" customHeight="1">
      <c r="C175" s="9"/>
    </row>
    <row r="176" ht="14.25" customHeight="1">
      <c r="C176" s="9"/>
    </row>
    <row r="177" ht="14.25" customHeight="1">
      <c r="C177" s="9"/>
    </row>
    <row r="178" ht="14.25" customHeight="1">
      <c r="C178" s="9"/>
    </row>
    <row r="179" ht="14.25" customHeight="1">
      <c r="C179" s="9"/>
    </row>
    <row r="180" ht="14.25" customHeight="1">
      <c r="C180" s="9"/>
    </row>
    <row r="181" ht="14.25" customHeight="1">
      <c r="C181" s="9"/>
    </row>
    <row r="182" ht="14.25" customHeight="1">
      <c r="C182" s="9"/>
    </row>
    <row r="183" ht="14.25" customHeight="1">
      <c r="C183" s="9"/>
    </row>
    <row r="184" ht="14.25" customHeight="1">
      <c r="C184" s="9"/>
    </row>
    <row r="185" ht="14.25" customHeight="1">
      <c r="C185" s="9"/>
    </row>
    <row r="186" ht="14.25" customHeight="1">
      <c r="C186" s="9"/>
    </row>
    <row r="187" ht="14.25" customHeight="1">
      <c r="C187" s="9"/>
    </row>
    <row r="188" ht="14.25" customHeight="1">
      <c r="C188" s="9"/>
    </row>
    <row r="189" ht="14.25" customHeight="1">
      <c r="C189" s="9"/>
    </row>
    <row r="190" ht="14.25" customHeight="1">
      <c r="C190" s="9"/>
    </row>
    <row r="191" ht="14.25" customHeight="1">
      <c r="C191" s="9"/>
    </row>
    <row r="192" ht="14.25" customHeight="1">
      <c r="C192" s="9"/>
    </row>
    <row r="193" ht="14.25" customHeight="1">
      <c r="C193" s="9"/>
    </row>
    <row r="194" ht="14.25" customHeight="1">
      <c r="C194" s="9"/>
    </row>
    <row r="195" ht="14.25" customHeight="1">
      <c r="C195" s="9"/>
    </row>
    <row r="196" ht="14.25" customHeight="1">
      <c r="C196" s="9"/>
    </row>
    <row r="197" ht="14.25" customHeight="1">
      <c r="C197" s="9"/>
    </row>
    <row r="198" ht="14.25" customHeight="1">
      <c r="C198" s="9"/>
    </row>
    <row r="199" ht="14.25" customHeight="1">
      <c r="C199" s="9"/>
    </row>
    <row r="200" ht="14.25" customHeight="1">
      <c r="C200" s="9"/>
    </row>
    <row r="201" ht="14.25" customHeight="1">
      <c r="C201" s="9"/>
    </row>
    <row r="202" ht="14.25" customHeight="1">
      <c r="C202" s="9"/>
    </row>
    <row r="203" ht="14.25" customHeight="1">
      <c r="C203" s="9"/>
    </row>
    <row r="204" ht="14.25" customHeight="1">
      <c r="C204" s="9"/>
    </row>
    <row r="205" ht="14.25" customHeight="1">
      <c r="C205" s="9"/>
    </row>
    <row r="206" ht="14.25" customHeight="1">
      <c r="C206" s="9"/>
    </row>
    <row r="207" ht="14.25" customHeight="1">
      <c r="C207" s="9"/>
    </row>
    <row r="208" ht="14.25" customHeight="1">
      <c r="C208" s="9"/>
    </row>
    <row r="209" ht="14.25" customHeight="1">
      <c r="C209" s="9"/>
    </row>
    <row r="210" ht="14.25" customHeight="1">
      <c r="C210" s="9"/>
    </row>
    <row r="211" ht="14.25" customHeight="1">
      <c r="C211" s="9"/>
    </row>
    <row r="212" ht="14.25" customHeight="1">
      <c r="C212" s="9"/>
    </row>
    <row r="213" ht="14.25" customHeight="1">
      <c r="C213" s="9"/>
    </row>
    <row r="214" ht="14.25" customHeight="1">
      <c r="C214" s="9"/>
    </row>
    <row r="215" ht="14.25" customHeight="1">
      <c r="C215" s="9"/>
    </row>
    <row r="216" ht="14.25" customHeight="1">
      <c r="C216" s="9"/>
    </row>
    <row r="217" ht="14.25" customHeight="1">
      <c r="C217" s="9"/>
    </row>
    <row r="218" ht="14.25" customHeight="1">
      <c r="C218" s="9"/>
    </row>
    <row r="219" ht="14.25" customHeight="1">
      <c r="C219" s="9"/>
    </row>
    <row r="220" ht="14.25" customHeight="1">
      <c r="C220" s="9"/>
    </row>
    <row r="221" ht="14.25" customHeight="1">
      <c r="C221" s="9"/>
    </row>
    <row r="222" ht="14.25" customHeight="1">
      <c r="C222" s="9"/>
    </row>
    <row r="223" ht="14.25" customHeight="1">
      <c r="C223" s="9"/>
    </row>
    <row r="224" ht="14.25" customHeight="1">
      <c r="C224" s="9"/>
    </row>
    <row r="225" ht="14.25" customHeight="1">
      <c r="C225" s="9"/>
    </row>
    <row r="226" ht="14.25" customHeight="1">
      <c r="C226" s="9"/>
    </row>
    <row r="227" ht="14.25" customHeight="1">
      <c r="C227" s="9"/>
    </row>
    <row r="228" ht="14.25" customHeight="1">
      <c r="C228" s="9"/>
    </row>
    <row r="229" ht="14.25" customHeight="1">
      <c r="C229" s="9"/>
    </row>
    <row r="230" ht="14.25" customHeight="1">
      <c r="C230" s="9"/>
    </row>
    <row r="231" ht="14.25" customHeight="1">
      <c r="C231" s="9"/>
    </row>
    <row r="232" ht="14.25" customHeight="1">
      <c r="C232" s="9"/>
    </row>
    <row r="233" ht="14.25" customHeight="1">
      <c r="C233" s="9"/>
    </row>
    <row r="234" ht="14.25" customHeight="1">
      <c r="C234" s="9"/>
    </row>
    <row r="235" ht="14.25" customHeight="1">
      <c r="C235" s="9"/>
    </row>
    <row r="236" ht="14.25" customHeight="1">
      <c r="C236" s="9"/>
    </row>
    <row r="237" ht="14.25" customHeight="1">
      <c r="C237" s="9"/>
    </row>
    <row r="238" ht="14.25" customHeight="1">
      <c r="C238" s="9"/>
    </row>
    <row r="239" ht="14.25" customHeight="1">
      <c r="C239" s="9"/>
    </row>
    <row r="240" ht="14.25" customHeight="1">
      <c r="C240" s="9"/>
    </row>
    <row r="241" ht="14.25" customHeight="1">
      <c r="C241" s="9"/>
    </row>
    <row r="242" ht="14.25" customHeight="1">
      <c r="C242" s="9"/>
    </row>
    <row r="243" ht="14.25" customHeight="1">
      <c r="C243" s="9"/>
    </row>
    <row r="244" ht="14.25" customHeight="1">
      <c r="C244" s="9"/>
    </row>
    <row r="245" ht="14.25" customHeight="1">
      <c r="C245" s="9"/>
    </row>
    <row r="246" ht="14.25" customHeight="1">
      <c r="C246" s="9"/>
    </row>
    <row r="247" ht="14.25" customHeight="1">
      <c r="C247" s="9"/>
    </row>
    <row r="248" ht="14.25" customHeight="1">
      <c r="C248" s="9"/>
    </row>
    <row r="249" ht="14.25" customHeight="1">
      <c r="C249" s="9"/>
    </row>
    <row r="250" ht="14.25" customHeight="1">
      <c r="C250" s="9"/>
    </row>
    <row r="251" ht="14.25" customHeight="1">
      <c r="C251" s="9"/>
    </row>
    <row r="252" ht="14.25" customHeight="1">
      <c r="C252" s="9"/>
    </row>
    <row r="253" ht="14.25" customHeight="1">
      <c r="C253" s="9"/>
    </row>
    <row r="254" ht="14.25" customHeight="1">
      <c r="C254" s="9"/>
    </row>
    <row r="255" ht="14.25" customHeight="1">
      <c r="C255" s="9"/>
    </row>
    <row r="256" ht="14.25" customHeight="1">
      <c r="C256" s="9"/>
    </row>
    <row r="257" ht="14.25" customHeight="1">
      <c r="C257" s="9"/>
    </row>
    <row r="258" ht="14.25" customHeight="1">
      <c r="C258" s="9"/>
    </row>
    <row r="259" ht="14.25" customHeight="1">
      <c r="C259" s="9"/>
    </row>
    <row r="260" ht="14.25" customHeight="1">
      <c r="C260" s="9"/>
    </row>
    <row r="261" ht="14.25" customHeight="1">
      <c r="C261" s="9"/>
    </row>
    <row r="262" ht="14.25" customHeight="1">
      <c r="C262" s="9"/>
    </row>
    <row r="263" ht="14.25" customHeight="1">
      <c r="C263" s="9"/>
    </row>
    <row r="264" ht="14.25" customHeight="1">
      <c r="C264" s="9"/>
    </row>
    <row r="265" ht="14.25" customHeight="1">
      <c r="C265" s="9"/>
    </row>
    <row r="266" ht="14.25" customHeight="1">
      <c r="C266" s="9"/>
    </row>
    <row r="267" ht="14.25" customHeight="1">
      <c r="C267" s="9"/>
    </row>
    <row r="268" ht="14.25" customHeight="1">
      <c r="C268" s="9"/>
    </row>
    <row r="269" ht="14.25" customHeight="1">
      <c r="C269" s="9"/>
    </row>
    <row r="270" ht="14.25" customHeight="1">
      <c r="C270" s="9"/>
    </row>
    <row r="271" ht="14.25" customHeight="1">
      <c r="C271" s="9"/>
    </row>
    <row r="272" ht="14.25" customHeight="1">
      <c r="C272" s="9"/>
    </row>
    <row r="273" ht="14.25" customHeight="1">
      <c r="C273" s="9"/>
    </row>
    <row r="274" ht="14.25" customHeight="1">
      <c r="C274" s="9"/>
    </row>
    <row r="275" ht="14.25" customHeight="1">
      <c r="C275" s="9"/>
    </row>
    <row r="276" ht="14.25" customHeight="1">
      <c r="C276" s="9"/>
    </row>
    <row r="277" ht="14.25" customHeight="1">
      <c r="C277" s="9"/>
    </row>
    <row r="278" ht="14.25" customHeight="1">
      <c r="C278" s="9"/>
    </row>
    <row r="279" ht="14.25" customHeight="1">
      <c r="C279" s="9"/>
    </row>
    <row r="280" ht="14.25" customHeight="1">
      <c r="C280" s="9"/>
    </row>
    <row r="281" ht="14.25" customHeight="1">
      <c r="C281" s="9"/>
    </row>
    <row r="282" ht="14.25" customHeight="1">
      <c r="C282" s="9"/>
    </row>
    <row r="283" ht="14.25" customHeight="1">
      <c r="C283" s="9"/>
    </row>
    <row r="284" ht="14.25" customHeight="1">
      <c r="C284" s="9"/>
    </row>
    <row r="285" ht="14.25" customHeight="1">
      <c r="C285" s="9"/>
    </row>
    <row r="286" ht="14.25" customHeight="1">
      <c r="C286" s="9"/>
    </row>
    <row r="287" ht="14.25" customHeight="1">
      <c r="C287" s="9"/>
    </row>
    <row r="288" ht="14.25" customHeight="1">
      <c r="C288" s="9"/>
    </row>
    <row r="289" ht="14.25" customHeight="1">
      <c r="C289" s="9"/>
    </row>
    <row r="290" ht="14.25" customHeight="1">
      <c r="C290" s="9"/>
    </row>
    <row r="291" ht="14.25" customHeight="1">
      <c r="C291" s="9"/>
    </row>
    <row r="292" ht="14.25" customHeight="1">
      <c r="C292" s="9"/>
    </row>
    <row r="293" ht="14.25" customHeight="1">
      <c r="C293" s="9"/>
    </row>
    <row r="294" ht="14.25" customHeight="1">
      <c r="C294" s="9"/>
    </row>
    <row r="295" ht="14.25" customHeight="1">
      <c r="C295" s="9"/>
    </row>
    <row r="296" ht="14.25" customHeight="1">
      <c r="C296" s="9"/>
    </row>
    <row r="297" ht="14.25" customHeight="1">
      <c r="C297" s="9"/>
    </row>
    <row r="298" ht="14.25" customHeight="1">
      <c r="C298" s="9"/>
    </row>
    <row r="299" ht="14.25" customHeight="1">
      <c r="C299" s="9"/>
    </row>
    <row r="300" ht="14.25" customHeight="1">
      <c r="C300" s="9"/>
    </row>
    <row r="301" ht="14.25" customHeight="1">
      <c r="C301" s="9"/>
    </row>
    <row r="302" ht="14.25" customHeight="1">
      <c r="C302" s="9"/>
    </row>
    <row r="303" ht="14.25" customHeight="1">
      <c r="C303" s="9"/>
    </row>
    <row r="304" ht="14.25" customHeight="1">
      <c r="C304" s="9"/>
    </row>
    <row r="305" ht="14.25" customHeight="1">
      <c r="C305" s="9"/>
    </row>
    <row r="306" ht="14.25" customHeight="1">
      <c r="C306" s="9"/>
    </row>
    <row r="307" ht="14.25" customHeight="1">
      <c r="C307" s="9"/>
    </row>
    <row r="308" ht="14.25" customHeight="1">
      <c r="C308" s="9"/>
    </row>
    <row r="309" ht="14.25" customHeight="1">
      <c r="C309" s="9"/>
    </row>
    <row r="310" ht="14.25" customHeight="1">
      <c r="C310" s="9"/>
    </row>
    <row r="311" ht="14.25" customHeight="1">
      <c r="C311" s="9"/>
    </row>
    <row r="312" ht="14.25" customHeight="1">
      <c r="C312" s="9"/>
    </row>
    <row r="313" ht="14.25" customHeight="1">
      <c r="C313" s="9"/>
    </row>
    <row r="314" ht="14.25" customHeight="1">
      <c r="C314" s="9"/>
    </row>
    <row r="315" ht="14.25" customHeight="1">
      <c r="C315" s="9"/>
    </row>
    <row r="316" ht="14.25" customHeight="1">
      <c r="C316" s="9"/>
    </row>
    <row r="317" ht="14.25" customHeight="1">
      <c r="C317" s="9"/>
    </row>
    <row r="318" ht="14.25" customHeight="1">
      <c r="C318" s="9"/>
    </row>
    <row r="319" ht="14.25" customHeight="1">
      <c r="C319" s="9"/>
    </row>
    <row r="320" ht="14.25" customHeight="1">
      <c r="C320" s="9"/>
    </row>
    <row r="321" ht="14.25" customHeight="1">
      <c r="C321" s="9"/>
    </row>
    <row r="322" ht="14.25" customHeight="1">
      <c r="C322" s="9"/>
    </row>
    <row r="323" ht="14.25" customHeight="1">
      <c r="C323" s="9"/>
    </row>
    <row r="324" ht="14.25" customHeight="1">
      <c r="C324" s="9"/>
    </row>
    <row r="325" ht="14.25" customHeight="1">
      <c r="C325" s="9"/>
    </row>
    <row r="326" ht="14.25" customHeight="1">
      <c r="C326" s="9"/>
    </row>
    <row r="327" ht="14.25" customHeight="1">
      <c r="C327" s="9"/>
    </row>
    <row r="328" ht="14.25" customHeight="1">
      <c r="C328" s="9"/>
    </row>
    <row r="329" ht="14.25" customHeight="1">
      <c r="C329" s="9"/>
    </row>
    <row r="330" ht="14.25" customHeight="1">
      <c r="C330" s="9"/>
    </row>
    <row r="331" ht="14.25" customHeight="1">
      <c r="C331" s="9"/>
    </row>
    <row r="332" ht="14.25" customHeight="1">
      <c r="C332" s="9"/>
    </row>
    <row r="333" ht="14.25" customHeight="1">
      <c r="C333" s="9"/>
    </row>
    <row r="334" ht="14.25" customHeight="1">
      <c r="C334" s="9"/>
    </row>
    <row r="335" ht="14.25" customHeight="1">
      <c r="C335" s="9"/>
    </row>
    <row r="336" ht="14.25" customHeight="1">
      <c r="C336" s="9"/>
    </row>
    <row r="337" ht="14.25" customHeight="1">
      <c r="C337" s="9"/>
    </row>
    <row r="338" ht="14.25" customHeight="1">
      <c r="C338" s="9"/>
    </row>
    <row r="339" ht="14.25" customHeight="1">
      <c r="C339" s="9"/>
    </row>
    <row r="340" ht="14.25" customHeight="1">
      <c r="C340" s="9"/>
    </row>
    <row r="341" ht="14.25" customHeight="1">
      <c r="C341" s="9"/>
    </row>
    <row r="342" ht="14.25" customHeight="1">
      <c r="C342" s="9"/>
    </row>
    <row r="343" ht="14.25" customHeight="1">
      <c r="C343" s="9"/>
    </row>
    <row r="344" ht="14.25" customHeight="1">
      <c r="C344" s="9"/>
    </row>
    <row r="345" ht="14.25" customHeight="1">
      <c r="C345" s="9"/>
    </row>
    <row r="346" ht="14.25" customHeight="1">
      <c r="C346" s="9"/>
    </row>
    <row r="347" ht="14.25" customHeight="1">
      <c r="C347" s="9"/>
    </row>
    <row r="348" ht="14.25" customHeight="1">
      <c r="C348" s="9"/>
    </row>
    <row r="349" ht="14.25" customHeight="1">
      <c r="C349" s="9"/>
    </row>
    <row r="350" ht="14.25" customHeight="1">
      <c r="C350" s="9"/>
    </row>
    <row r="351" ht="14.25" customHeight="1">
      <c r="C351" s="9"/>
    </row>
    <row r="352" ht="14.25" customHeight="1">
      <c r="C352" s="9"/>
    </row>
    <row r="353" ht="14.25" customHeight="1">
      <c r="C353" s="9"/>
    </row>
    <row r="354" ht="14.25" customHeight="1">
      <c r="C354" s="9"/>
    </row>
    <row r="355" ht="14.25" customHeight="1">
      <c r="C355" s="9"/>
    </row>
    <row r="356" ht="14.25" customHeight="1">
      <c r="C356" s="9"/>
    </row>
    <row r="357" ht="14.25" customHeight="1">
      <c r="C357" s="9"/>
    </row>
    <row r="358" ht="14.25" customHeight="1">
      <c r="C358" s="9"/>
    </row>
    <row r="359" ht="14.25" customHeight="1">
      <c r="C359" s="9"/>
    </row>
    <row r="360" ht="14.25" customHeight="1">
      <c r="C360" s="9"/>
    </row>
    <row r="361" ht="14.25" customHeight="1">
      <c r="C361" s="9"/>
    </row>
    <row r="362" ht="14.25" customHeight="1">
      <c r="C362" s="9"/>
    </row>
    <row r="363" ht="14.25" customHeight="1">
      <c r="C363" s="9"/>
    </row>
    <row r="364" ht="14.25" customHeight="1">
      <c r="C364" s="9"/>
    </row>
    <row r="365" ht="14.25" customHeight="1">
      <c r="C365" s="9"/>
    </row>
    <row r="366" ht="14.25" customHeight="1">
      <c r="C366" s="9"/>
    </row>
    <row r="367" ht="14.25" customHeight="1">
      <c r="C367" s="9"/>
    </row>
    <row r="368" ht="14.25" customHeight="1">
      <c r="C368" s="9"/>
    </row>
    <row r="369" ht="14.25" customHeight="1">
      <c r="C369" s="9"/>
    </row>
    <row r="370" ht="14.25" customHeight="1">
      <c r="C370" s="9"/>
    </row>
    <row r="371" ht="14.25" customHeight="1">
      <c r="C371" s="9"/>
    </row>
    <row r="372" ht="14.25" customHeight="1">
      <c r="C372" s="9"/>
    </row>
    <row r="373" ht="14.25" customHeight="1">
      <c r="C373" s="9"/>
    </row>
    <row r="374" ht="14.25" customHeight="1">
      <c r="C374" s="9"/>
    </row>
    <row r="375" ht="14.25" customHeight="1">
      <c r="C375" s="9"/>
    </row>
    <row r="376" ht="14.25" customHeight="1">
      <c r="C376" s="9"/>
    </row>
    <row r="377" ht="14.25" customHeight="1">
      <c r="C377" s="9"/>
    </row>
    <row r="378" ht="14.25" customHeight="1">
      <c r="C378" s="9"/>
    </row>
    <row r="379" ht="14.25" customHeight="1">
      <c r="C379" s="9"/>
    </row>
    <row r="380" ht="14.25" customHeight="1">
      <c r="C380" s="9"/>
    </row>
    <row r="381" ht="14.25" customHeight="1">
      <c r="C381" s="9"/>
    </row>
    <row r="382" ht="14.25" customHeight="1">
      <c r="C382" s="9"/>
    </row>
    <row r="383" ht="14.25" customHeight="1">
      <c r="C383" s="9"/>
    </row>
    <row r="384" ht="14.25" customHeight="1">
      <c r="C384" s="9"/>
    </row>
    <row r="385" ht="14.25" customHeight="1">
      <c r="C385" s="9"/>
    </row>
    <row r="386" ht="14.25" customHeight="1">
      <c r="C386" s="9"/>
    </row>
    <row r="387" ht="14.25" customHeight="1">
      <c r="C387" s="9"/>
    </row>
    <row r="388" ht="14.25" customHeight="1">
      <c r="C388" s="9"/>
    </row>
    <row r="389" ht="14.25" customHeight="1">
      <c r="C389" s="9"/>
    </row>
    <row r="390" ht="14.25" customHeight="1">
      <c r="C390" s="9"/>
    </row>
    <row r="391" ht="14.25" customHeight="1">
      <c r="C391" s="9"/>
    </row>
    <row r="392" ht="14.25" customHeight="1">
      <c r="C392" s="9"/>
    </row>
    <row r="393" ht="14.25" customHeight="1">
      <c r="C393" s="9"/>
    </row>
    <row r="394" ht="14.25" customHeight="1">
      <c r="C394" s="9"/>
    </row>
    <row r="395" ht="14.25" customHeight="1">
      <c r="C395" s="9"/>
    </row>
    <row r="396" ht="14.25" customHeight="1">
      <c r="C396" s="9"/>
    </row>
    <row r="397" ht="14.25" customHeight="1">
      <c r="C397" s="9"/>
    </row>
    <row r="398" ht="14.25" customHeight="1">
      <c r="C398" s="9"/>
    </row>
    <row r="399" ht="14.25" customHeight="1">
      <c r="C399" s="9"/>
    </row>
    <row r="400" ht="14.25" customHeight="1">
      <c r="C400" s="9"/>
    </row>
    <row r="401" ht="14.25" customHeight="1">
      <c r="C401" s="9"/>
    </row>
    <row r="402" ht="14.25" customHeight="1">
      <c r="C402" s="9"/>
    </row>
    <row r="403" ht="14.25" customHeight="1">
      <c r="C403" s="9"/>
    </row>
    <row r="404" ht="14.25" customHeight="1">
      <c r="C404" s="9"/>
    </row>
    <row r="405" ht="14.25" customHeight="1">
      <c r="C405" s="9"/>
    </row>
    <row r="406" ht="14.25" customHeight="1">
      <c r="C406" s="9"/>
    </row>
    <row r="407" ht="14.25" customHeight="1">
      <c r="C407" s="9"/>
    </row>
    <row r="408" ht="14.25" customHeight="1">
      <c r="C408" s="9"/>
    </row>
    <row r="409" ht="14.25" customHeight="1">
      <c r="C409" s="9"/>
    </row>
    <row r="410" ht="14.25" customHeight="1">
      <c r="C410" s="9"/>
    </row>
    <row r="411" ht="14.25" customHeight="1">
      <c r="C411" s="9"/>
    </row>
    <row r="412" ht="14.25" customHeight="1">
      <c r="C412" s="9"/>
    </row>
    <row r="413" ht="14.25" customHeight="1">
      <c r="C413" s="9"/>
    </row>
    <row r="414" ht="14.25" customHeight="1">
      <c r="C414" s="9"/>
    </row>
    <row r="415" ht="14.25" customHeight="1">
      <c r="C415" s="9"/>
    </row>
    <row r="416" ht="14.25" customHeight="1">
      <c r="C416" s="9"/>
    </row>
    <row r="417" ht="14.25" customHeight="1">
      <c r="C417" s="9"/>
    </row>
    <row r="418" ht="14.25" customHeight="1">
      <c r="C418" s="9"/>
    </row>
    <row r="419" ht="14.25" customHeight="1">
      <c r="C419" s="9"/>
    </row>
    <row r="420" ht="14.25" customHeight="1">
      <c r="C420" s="9"/>
    </row>
    <row r="421" ht="14.25" customHeight="1">
      <c r="C421" s="9"/>
    </row>
    <row r="422" ht="14.25" customHeight="1">
      <c r="C422" s="9"/>
    </row>
    <row r="423" ht="14.25" customHeight="1">
      <c r="C423" s="9"/>
    </row>
    <row r="424" ht="14.25" customHeight="1">
      <c r="C424" s="9"/>
    </row>
    <row r="425" ht="14.25" customHeight="1">
      <c r="C425" s="9"/>
    </row>
    <row r="426" ht="14.25" customHeight="1">
      <c r="C426" s="9"/>
    </row>
    <row r="427" ht="14.25" customHeight="1">
      <c r="C427" s="9"/>
    </row>
    <row r="428" ht="14.25" customHeight="1">
      <c r="C428" s="9"/>
    </row>
    <row r="429" ht="14.25" customHeight="1">
      <c r="C429" s="9"/>
    </row>
    <row r="430" ht="14.25" customHeight="1">
      <c r="C430" s="9"/>
    </row>
    <row r="431" ht="14.25" customHeight="1">
      <c r="C431" s="9"/>
    </row>
    <row r="432" ht="14.25" customHeight="1">
      <c r="C432" s="9"/>
    </row>
    <row r="433" ht="14.25" customHeight="1">
      <c r="C433" s="9"/>
    </row>
    <row r="434" ht="14.25" customHeight="1">
      <c r="C434" s="9"/>
    </row>
    <row r="435" ht="14.25" customHeight="1">
      <c r="C435" s="9"/>
    </row>
    <row r="436" ht="14.25" customHeight="1">
      <c r="C436" s="9"/>
    </row>
    <row r="437" ht="14.25" customHeight="1">
      <c r="C437" s="9"/>
    </row>
    <row r="438" ht="14.25" customHeight="1">
      <c r="C438" s="9"/>
    </row>
    <row r="439" ht="14.25" customHeight="1">
      <c r="C439" s="9"/>
    </row>
    <row r="440" ht="14.25" customHeight="1">
      <c r="C440" s="9"/>
    </row>
    <row r="441" ht="14.25" customHeight="1">
      <c r="C441" s="9"/>
    </row>
    <row r="442" ht="14.25" customHeight="1">
      <c r="C442" s="9"/>
    </row>
    <row r="443" ht="14.25" customHeight="1">
      <c r="C443" s="9"/>
    </row>
    <row r="444" ht="14.25" customHeight="1">
      <c r="C444" s="9"/>
    </row>
    <row r="445" ht="14.25" customHeight="1">
      <c r="C445" s="9"/>
    </row>
    <row r="446" ht="14.25" customHeight="1">
      <c r="C446" s="9"/>
    </row>
    <row r="447" ht="14.25" customHeight="1">
      <c r="C447" s="9"/>
    </row>
    <row r="448" ht="14.25" customHeight="1">
      <c r="C448" s="9"/>
    </row>
    <row r="449" ht="14.25" customHeight="1">
      <c r="C449" s="9"/>
    </row>
    <row r="450" ht="14.25" customHeight="1">
      <c r="C450" s="9"/>
    </row>
    <row r="451" ht="14.25" customHeight="1">
      <c r="C451" s="9"/>
    </row>
    <row r="452" ht="14.25" customHeight="1">
      <c r="C452" s="9"/>
    </row>
    <row r="453" ht="14.25" customHeight="1">
      <c r="C453" s="9"/>
    </row>
    <row r="454" ht="14.25" customHeight="1">
      <c r="C454" s="9"/>
    </row>
    <row r="455" ht="14.25" customHeight="1">
      <c r="C455" s="9"/>
    </row>
    <row r="456" ht="14.25" customHeight="1">
      <c r="C456" s="9"/>
    </row>
    <row r="457" ht="14.25" customHeight="1">
      <c r="C457" s="9"/>
    </row>
    <row r="458" ht="14.25" customHeight="1">
      <c r="C458" s="9"/>
    </row>
    <row r="459" ht="14.25" customHeight="1">
      <c r="C459" s="9"/>
    </row>
    <row r="460" ht="14.25" customHeight="1">
      <c r="C460" s="9"/>
    </row>
    <row r="461" ht="14.25" customHeight="1">
      <c r="C461" s="9"/>
    </row>
    <row r="462" ht="14.25" customHeight="1">
      <c r="C462" s="9"/>
    </row>
    <row r="463" ht="14.25" customHeight="1">
      <c r="C463" s="9"/>
    </row>
    <row r="464" ht="14.25" customHeight="1">
      <c r="C464" s="9"/>
    </row>
    <row r="465" ht="14.25" customHeight="1">
      <c r="C465" s="9"/>
    </row>
    <row r="466" ht="14.25" customHeight="1">
      <c r="C466" s="9"/>
    </row>
    <row r="467" ht="14.25" customHeight="1">
      <c r="C467" s="9"/>
    </row>
    <row r="468" ht="14.25" customHeight="1">
      <c r="C468" s="9"/>
    </row>
    <row r="469" ht="14.25" customHeight="1">
      <c r="C469" s="9"/>
    </row>
    <row r="470" ht="14.25" customHeight="1">
      <c r="C470" s="9"/>
    </row>
    <row r="471" ht="14.25" customHeight="1">
      <c r="C471" s="9"/>
    </row>
    <row r="472" ht="14.25" customHeight="1">
      <c r="C472" s="9"/>
    </row>
    <row r="473" ht="14.25" customHeight="1">
      <c r="C473" s="9"/>
    </row>
    <row r="474" ht="14.25" customHeight="1">
      <c r="C474" s="9"/>
    </row>
    <row r="475" ht="14.25" customHeight="1">
      <c r="C475" s="9"/>
    </row>
    <row r="476" ht="14.25" customHeight="1">
      <c r="C476" s="9"/>
    </row>
    <row r="477" ht="14.25" customHeight="1">
      <c r="C477" s="9"/>
    </row>
    <row r="478" ht="14.25" customHeight="1">
      <c r="C478" s="9"/>
    </row>
    <row r="479" ht="14.25" customHeight="1">
      <c r="C479" s="9"/>
    </row>
    <row r="480" ht="14.25" customHeight="1">
      <c r="C480" s="9"/>
    </row>
    <row r="481" ht="14.25" customHeight="1">
      <c r="C481" s="9"/>
    </row>
    <row r="482" ht="14.25" customHeight="1">
      <c r="C482" s="9"/>
    </row>
    <row r="483" ht="14.25" customHeight="1">
      <c r="C483" s="9"/>
    </row>
    <row r="484" ht="14.25" customHeight="1">
      <c r="C484" s="9"/>
    </row>
    <row r="485" ht="14.25" customHeight="1">
      <c r="C485" s="9"/>
    </row>
    <row r="486" ht="14.25" customHeight="1">
      <c r="C486" s="9"/>
    </row>
    <row r="487" ht="14.25" customHeight="1">
      <c r="C487" s="9"/>
    </row>
    <row r="488" ht="14.25" customHeight="1">
      <c r="C488" s="9"/>
    </row>
    <row r="489" ht="14.25" customHeight="1">
      <c r="C489" s="9"/>
    </row>
    <row r="490" ht="14.25" customHeight="1">
      <c r="C490" s="9"/>
    </row>
    <row r="491" ht="14.25" customHeight="1">
      <c r="C491" s="9"/>
    </row>
    <row r="492" ht="14.25" customHeight="1">
      <c r="C492" s="9"/>
    </row>
    <row r="493" ht="14.25" customHeight="1">
      <c r="C493" s="9"/>
    </row>
    <row r="494" ht="14.25" customHeight="1">
      <c r="C494" s="9"/>
    </row>
    <row r="495" ht="14.25" customHeight="1">
      <c r="C495" s="9"/>
    </row>
    <row r="496" ht="14.25" customHeight="1">
      <c r="C496" s="9"/>
    </row>
    <row r="497" ht="14.25" customHeight="1">
      <c r="C497" s="9"/>
    </row>
    <row r="498" ht="14.25" customHeight="1">
      <c r="C498" s="9"/>
    </row>
    <row r="499" ht="14.25" customHeight="1">
      <c r="C499" s="9"/>
    </row>
    <row r="500" ht="14.25" customHeight="1">
      <c r="C500" s="9"/>
    </row>
    <row r="501" ht="14.25" customHeight="1">
      <c r="C501" s="9"/>
    </row>
    <row r="502" ht="14.25" customHeight="1">
      <c r="C502" s="9"/>
    </row>
    <row r="503" ht="14.25" customHeight="1">
      <c r="C503" s="9"/>
    </row>
    <row r="504" ht="14.25" customHeight="1">
      <c r="C504" s="9"/>
    </row>
    <row r="505" ht="14.25" customHeight="1">
      <c r="C505" s="9"/>
    </row>
    <row r="506" ht="14.25" customHeight="1">
      <c r="C506" s="9"/>
    </row>
    <row r="507" ht="14.25" customHeight="1">
      <c r="C507" s="9"/>
    </row>
    <row r="508" ht="14.25" customHeight="1">
      <c r="C508" s="9"/>
    </row>
    <row r="509" ht="14.25" customHeight="1">
      <c r="C509" s="9"/>
    </row>
    <row r="510" ht="14.25" customHeight="1">
      <c r="C510" s="9"/>
    </row>
    <row r="511" ht="14.25" customHeight="1">
      <c r="C511" s="9"/>
    </row>
    <row r="512" ht="14.25" customHeight="1">
      <c r="C512" s="9"/>
    </row>
    <row r="513" ht="14.25" customHeight="1">
      <c r="C513" s="9"/>
    </row>
    <row r="514" ht="14.25" customHeight="1">
      <c r="C514" s="9"/>
    </row>
    <row r="515" ht="14.25" customHeight="1">
      <c r="C515" s="9"/>
    </row>
    <row r="516" ht="14.25" customHeight="1">
      <c r="C516" s="9"/>
    </row>
    <row r="517" ht="14.25" customHeight="1">
      <c r="C517" s="9"/>
    </row>
    <row r="518" ht="14.25" customHeight="1">
      <c r="C518" s="9"/>
    </row>
    <row r="519" ht="14.25" customHeight="1">
      <c r="C519" s="9"/>
    </row>
    <row r="520" ht="14.25" customHeight="1">
      <c r="C520" s="9"/>
    </row>
    <row r="521" ht="14.25" customHeight="1">
      <c r="C521" s="9"/>
    </row>
    <row r="522" ht="14.25" customHeight="1">
      <c r="C522" s="9"/>
    </row>
    <row r="523" ht="14.25" customHeight="1">
      <c r="C523" s="9"/>
    </row>
    <row r="524" ht="14.25" customHeight="1">
      <c r="C524" s="9"/>
    </row>
    <row r="525" ht="14.25" customHeight="1">
      <c r="C525" s="9"/>
    </row>
    <row r="526" ht="14.25" customHeight="1">
      <c r="C526" s="9"/>
    </row>
    <row r="527" ht="14.25" customHeight="1">
      <c r="C527" s="9"/>
    </row>
    <row r="528" ht="14.25" customHeight="1">
      <c r="C528" s="9"/>
    </row>
    <row r="529" ht="14.25" customHeight="1">
      <c r="C529" s="9"/>
    </row>
    <row r="530" ht="14.25" customHeight="1">
      <c r="C530" s="9"/>
    </row>
    <row r="531" ht="14.25" customHeight="1">
      <c r="C531" s="9"/>
    </row>
    <row r="532" ht="14.25" customHeight="1">
      <c r="C532" s="9"/>
    </row>
    <row r="533" ht="14.25" customHeight="1">
      <c r="C533" s="9"/>
    </row>
    <row r="534" ht="14.25" customHeight="1">
      <c r="C534" s="9"/>
    </row>
    <row r="535" ht="14.25" customHeight="1">
      <c r="C535" s="9"/>
    </row>
    <row r="536" ht="14.25" customHeight="1">
      <c r="C536" s="9"/>
    </row>
    <row r="537" ht="14.25" customHeight="1">
      <c r="C537" s="9"/>
    </row>
    <row r="538" ht="14.25" customHeight="1">
      <c r="C538" s="9"/>
    </row>
    <row r="539" ht="14.25" customHeight="1">
      <c r="C539" s="9"/>
    </row>
    <row r="540" ht="14.25" customHeight="1">
      <c r="C540" s="9"/>
    </row>
    <row r="541" ht="14.25" customHeight="1">
      <c r="C541" s="9"/>
    </row>
    <row r="542" ht="14.25" customHeight="1">
      <c r="C542" s="9"/>
    </row>
    <row r="543" ht="14.25" customHeight="1">
      <c r="C543" s="9"/>
    </row>
    <row r="544" ht="14.25" customHeight="1">
      <c r="C544" s="9"/>
    </row>
    <row r="545" ht="14.25" customHeight="1">
      <c r="C545" s="9"/>
    </row>
    <row r="546" ht="14.25" customHeight="1">
      <c r="C546" s="9"/>
    </row>
    <row r="547" ht="14.25" customHeight="1">
      <c r="C547" s="9"/>
    </row>
    <row r="548" ht="14.25" customHeight="1">
      <c r="C548" s="9"/>
    </row>
    <row r="549" ht="14.25" customHeight="1">
      <c r="C549" s="9"/>
    </row>
    <row r="550" ht="14.25" customHeight="1">
      <c r="C550" s="9"/>
    </row>
    <row r="551" ht="14.25" customHeight="1">
      <c r="C551" s="9"/>
    </row>
    <row r="552" ht="14.25" customHeight="1">
      <c r="C552" s="9"/>
    </row>
    <row r="553" ht="14.25" customHeight="1">
      <c r="C553" s="9"/>
    </row>
    <row r="554" ht="14.25" customHeight="1">
      <c r="C554" s="9"/>
    </row>
    <row r="555" ht="14.25" customHeight="1">
      <c r="C555" s="9"/>
    </row>
    <row r="556" ht="14.25" customHeight="1">
      <c r="C556" s="9"/>
    </row>
    <row r="557" ht="14.25" customHeight="1">
      <c r="C557" s="9"/>
    </row>
    <row r="558" ht="14.25" customHeight="1">
      <c r="C558" s="9"/>
    </row>
    <row r="559" ht="14.25" customHeight="1">
      <c r="C559" s="9"/>
    </row>
    <row r="560" ht="14.25" customHeight="1">
      <c r="C560" s="9"/>
    </row>
    <row r="561" ht="14.25" customHeight="1">
      <c r="C561" s="9"/>
    </row>
    <row r="562" ht="14.25" customHeight="1">
      <c r="C562" s="9"/>
    </row>
    <row r="563" ht="14.25" customHeight="1">
      <c r="C563" s="9"/>
    </row>
    <row r="564" ht="14.25" customHeight="1">
      <c r="C564" s="9"/>
    </row>
    <row r="565" ht="14.25" customHeight="1">
      <c r="C565" s="9"/>
    </row>
    <row r="566" ht="14.25" customHeight="1">
      <c r="C566" s="9"/>
    </row>
    <row r="567" ht="14.25" customHeight="1">
      <c r="C567" s="9"/>
    </row>
    <row r="568" ht="14.25" customHeight="1">
      <c r="C568" s="9"/>
    </row>
    <row r="569" ht="14.25" customHeight="1">
      <c r="C569" s="9"/>
    </row>
    <row r="570" ht="14.25" customHeight="1">
      <c r="C570" s="9"/>
    </row>
    <row r="571" ht="14.25" customHeight="1">
      <c r="C571" s="9"/>
    </row>
    <row r="572" ht="14.25" customHeight="1">
      <c r="C572" s="9"/>
    </row>
    <row r="573" ht="14.25" customHeight="1">
      <c r="C573" s="9"/>
    </row>
    <row r="574" ht="14.25" customHeight="1">
      <c r="C574" s="9"/>
    </row>
    <row r="575" ht="14.25" customHeight="1">
      <c r="C575" s="9"/>
    </row>
    <row r="576" ht="14.25" customHeight="1">
      <c r="C576" s="9"/>
    </row>
    <row r="577" ht="14.25" customHeight="1">
      <c r="C577" s="9"/>
    </row>
    <row r="578" ht="14.25" customHeight="1">
      <c r="C578" s="9"/>
    </row>
    <row r="579" ht="14.25" customHeight="1">
      <c r="C579" s="9"/>
    </row>
    <row r="580" ht="14.25" customHeight="1">
      <c r="C580" s="9"/>
    </row>
    <row r="581" ht="14.25" customHeight="1">
      <c r="C581" s="9"/>
    </row>
    <row r="582" ht="14.25" customHeight="1">
      <c r="C582" s="9"/>
    </row>
    <row r="583" ht="14.25" customHeight="1">
      <c r="C583" s="9"/>
    </row>
    <row r="584" ht="14.25" customHeight="1">
      <c r="C584" s="9"/>
    </row>
    <row r="585" ht="14.25" customHeight="1">
      <c r="C585" s="9"/>
    </row>
    <row r="586" ht="14.25" customHeight="1">
      <c r="C586" s="9"/>
    </row>
    <row r="587" ht="14.25" customHeight="1">
      <c r="C587" s="9"/>
    </row>
    <row r="588" ht="14.25" customHeight="1">
      <c r="C588" s="9"/>
    </row>
    <row r="589" ht="14.25" customHeight="1">
      <c r="C589" s="9"/>
    </row>
    <row r="590" ht="14.25" customHeight="1">
      <c r="C590" s="9"/>
    </row>
    <row r="591" ht="14.25" customHeight="1">
      <c r="C591" s="9"/>
    </row>
    <row r="592" ht="14.25" customHeight="1">
      <c r="C592" s="9"/>
    </row>
    <row r="593" ht="14.25" customHeight="1">
      <c r="C593" s="9"/>
    </row>
    <row r="594" ht="14.25" customHeight="1">
      <c r="C594" s="9"/>
    </row>
    <row r="595" ht="14.25" customHeight="1">
      <c r="C595" s="9"/>
    </row>
    <row r="596" ht="14.25" customHeight="1">
      <c r="C596" s="9"/>
    </row>
    <row r="597" ht="14.25" customHeight="1">
      <c r="C597" s="9"/>
    </row>
    <row r="598" ht="14.25" customHeight="1">
      <c r="C598" s="9"/>
    </row>
    <row r="599" ht="14.25" customHeight="1">
      <c r="C599" s="9"/>
    </row>
    <row r="600" ht="14.25" customHeight="1">
      <c r="C600" s="9"/>
    </row>
    <row r="601" ht="14.25" customHeight="1">
      <c r="C601" s="9"/>
    </row>
    <row r="602" ht="14.25" customHeight="1">
      <c r="C602" s="9"/>
    </row>
    <row r="603" ht="14.25" customHeight="1">
      <c r="C603" s="9"/>
    </row>
    <row r="604" ht="14.25" customHeight="1">
      <c r="C604" s="9"/>
    </row>
    <row r="605" ht="14.25" customHeight="1">
      <c r="C605" s="9"/>
    </row>
    <row r="606" ht="14.25" customHeight="1">
      <c r="C606" s="9"/>
    </row>
    <row r="607" ht="14.25" customHeight="1">
      <c r="C607" s="9"/>
    </row>
    <row r="608" ht="14.25" customHeight="1">
      <c r="C608" s="9"/>
    </row>
    <row r="609" ht="14.25" customHeight="1">
      <c r="C609" s="9"/>
    </row>
    <row r="610" ht="14.25" customHeight="1">
      <c r="C610" s="9"/>
    </row>
    <row r="611" ht="14.25" customHeight="1">
      <c r="C611" s="9"/>
    </row>
    <row r="612" ht="14.25" customHeight="1">
      <c r="C612" s="9"/>
    </row>
    <row r="613" ht="14.25" customHeight="1">
      <c r="C613" s="9"/>
    </row>
    <row r="614" ht="14.25" customHeight="1">
      <c r="C614" s="9"/>
    </row>
    <row r="615" ht="14.25" customHeight="1">
      <c r="C615" s="9"/>
    </row>
    <row r="616" ht="14.25" customHeight="1">
      <c r="C616" s="9"/>
    </row>
    <row r="617" ht="14.25" customHeight="1">
      <c r="C617" s="9"/>
    </row>
    <row r="618" ht="14.25" customHeight="1">
      <c r="C618" s="9"/>
    </row>
    <row r="619" ht="14.25" customHeight="1">
      <c r="C619" s="9"/>
    </row>
    <row r="620" ht="14.25" customHeight="1">
      <c r="C620" s="9"/>
    </row>
    <row r="621" ht="14.25" customHeight="1">
      <c r="C621" s="9"/>
    </row>
    <row r="622" ht="14.25" customHeight="1">
      <c r="C622" s="9"/>
    </row>
    <row r="623" ht="14.25" customHeight="1">
      <c r="C623" s="9"/>
    </row>
    <row r="624" ht="14.25" customHeight="1">
      <c r="C624" s="9"/>
    </row>
    <row r="625" ht="14.25" customHeight="1">
      <c r="C625" s="9"/>
    </row>
    <row r="626" ht="14.25" customHeight="1">
      <c r="C626" s="9"/>
    </row>
    <row r="627" ht="14.25" customHeight="1">
      <c r="C627" s="9"/>
    </row>
    <row r="628" ht="14.25" customHeight="1">
      <c r="C628" s="9"/>
    </row>
    <row r="629" ht="14.25" customHeight="1">
      <c r="C629" s="9"/>
    </row>
    <row r="630" ht="14.25" customHeight="1">
      <c r="C630" s="9"/>
    </row>
    <row r="631" ht="14.25" customHeight="1">
      <c r="C631" s="9"/>
    </row>
    <row r="632" ht="14.25" customHeight="1">
      <c r="C632" s="9"/>
    </row>
    <row r="633" ht="14.25" customHeight="1">
      <c r="C633" s="9"/>
    </row>
    <row r="634" ht="14.25" customHeight="1">
      <c r="C634" s="9"/>
    </row>
    <row r="635" ht="14.25" customHeight="1">
      <c r="C635" s="9"/>
    </row>
    <row r="636" ht="14.25" customHeight="1">
      <c r="C636" s="9"/>
    </row>
    <row r="637" ht="14.25" customHeight="1">
      <c r="C637" s="9"/>
    </row>
    <row r="638" ht="14.25" customHeight="1">
      <c r="C638" s="9"/>
    </row>
    <row r="639" ht="14.25" customHeight="1">
      <c r="C639" s="9"/>
    </row>
    <row r="640" ht="14.25" customHeight="1">
      <c r="C640" s="9"/>
    </row>
    <row r="641" ht="14.25" customHeight="1">
      <c r="C641" s="9"/>
    </row>
    <row r="642" ht="14.25" customHeight="1">
      <c r="C642" s="9"/>
    </row>
    <row r="643" ht="14.25" customHeight="1">
      <c r="C643" s="9"/>
    </row>
    <row r="644" ht="14.25" customHeight="1">
      <c r="C644" s="9"/>
    </row>
    <row r="645" ht="14.25" customHeight="1">
      <c r="C645" s="9"/>
    </row>
    <row r="646" ht="14.25" customHeight="1">
      <c r="C646" s="9"/>
    </row>
    <row r="647" ht="14.25" customHeight="1">
      <c r="C647" s="9"/>
    </row>
    <row r="648" ht="14.25" customHeight="1">
      <c r="C648" s="9"/>
    </row>
    <row r="649" ht="14.25" customHeight="1">
      <c r="C649" s="9"/>
    </row>
    <row r="650" ht="14.25" customHeight="1">
      <c r="C650" s="9"/>
    </row>
    <row r="651" ht="14.25" customHeight="1">
      <c r="C651" s="9"/>
    </row>
    <row r="652" ht="14.25" customHeight="1">
      <c r="C652" s="9"/>
    </row>
    <row r="653" ht="14.25" customHeight="1">
      <c r="C653" s="9"/>
    </row>
    <row r="654" ht="14.25" customHeight="1">
      <c r="C654" s="9"/>
    </row>
    <row r="655" ht="14.25" customHeight="1">
      <c r="C655" s="9"/>
    </row>
    <row r="656" ht="14.25" customHeight="1">
      <c r="C656" s="9"/>
    </row>
    <row r="657" ht="14.25" customHeight="1">
      <c r="C657" s="9"/>
    </row>
    <row r="658" ht="14.25" customHeight="1">
      <c r="C658" s="9"/>
    </row>
    <row r="659" ht="14.25" customHeight="1">
      <c r="C659" s="9"/>
    </row>
    <row r="660" ht="14.25" customHeight="1">
      <c r="C660" s="9"/>
    </row>
    <row r="661" ht="14.25" customHeight="1">
      <c r="C661" s="9"/>
    </row>
    <row r="662" ht="14.25" customHeight="1">
      <c r="C662" s="9"/>
    </row>
    <row r="663" ht="14.25" customHeight="1">
      <c r="C663" s="9"/>
    </row>
    <row r="664" ht="14.25" customHeight="1">
      <c r="C664" s="9"/>
    </row>
    <row r="665" ht="14.25" customHeight="1">
      <c r="C665" s="9"/>
    </row>
    <row r="666" ht="14.25" customHeight="1">
      <c r="C666" s="9"/>
    </row>
    <row r="667" ht="14.25" customHeight="1">
      <c r="C667" s="9"/>
    </row>
    <row r="668" ht="14.25" customHeight="1">
      <c r="C668" s="9"/>
    </row>
    <row r="669" ht="14.25" customHeight="1">
      <c r="C669" s="9"/>
    </row>
    <row r="670" ht="14.25" customHeight="1">
      <c r="C670" s="9"/>
    </row>
    <row r="671" ht="14.25" customHeight="1">
      <c r="C671" s="9"/>
    </row>
    <row r="672" ht="14.25" customHeight="1">
      <c r="C672" s="9"/>
    </row>
    <row r="673" ht="14.25" customHeight="1">
      <c r="C673" s="9"/>
    </row>
    <row r="674" ht="14.25" customHeight="1">
      <c r="C674" s="9"/>
    </row>
    <row r="675" ht="14.25" customHeight="1">
      <c r="C675" s="9"/>
    </row>
    <row r="676" ht="14.25" customHeight="1">
      <c r="C676" s="9"/>
    </row>
    <row r="677" ht="14.25" customHeight="1">
      <c r="C677" s="9"/>
    </row>
    <row r="678" ht="14.25" customHeight="1">
      <c r="C678" s="9"/>
    </row>
    <row r="679" ht="14.25" customHeight="1">
      <c r="C679" s="9"/>
    </row>
    <row r="680" ht="14.25" customHeight="1">
      <c r="C680" s="9"/>
    </row>
    <row r="681" ht="14.25" customHeight="1">
      <c r="C681" s="9"/>
    </row>
    <row r="682" ht="14.25" customHeight="1">
      <c r="C682" s="9"/>
    </row>
    <row r="683" ht="14.25" customHeight="1">
      <c r="C683" s="9"/>
    </row>
    <row r="684" ht="14.25" customHeight="1">
      <c r="C684" s="9"/>
    </row>
    <row r="685" ht="14.25" customHeight="1">
      <c r="C685" s="9"/>
    </row>
    <row r="686" ht="14.25" customHeight="1">
      <c r="C686" s="9"/>
    </row>
    <row r="687" ht="14.25" customHeight="1">
      <c r="C687" s="9"/>
    </row>
    <row r="688" ht="14.25" customHeight="1">
      <c r="C688" s="9"/>
    </row>
    <row r="689" ht="14.25" customHeight="1">
      <c r="C689" s="9"/>
    </row>
    <row r="690" ht="14.25" customHeight="1">
      <c r="C690" s="9"/>
    </row>
    <row r="691" ht="14.25" customHeight="1">
      <c r="C691" s="9"/>
    </row>
    <row r="692" ht="14.25" customHeight="1">
      <c r="C692" s="9"/>
    </row>
    <row r="693" ht="14.25" customHeight="1">
      <c r="C693" s="9"/>
    </row>
    <row r="694" ht="14.25" customHeight="1">
      <c r="C694" s="9"/>
    </row>
    <row r="695" ht="14.25" customHeight="1">
      <c r="C695" s="9"/>
    </row>
    <row r="696" ht="14.25" customHeight="1">
      <c r="C696" s="9"/>
    </row>
    <row r="697" ht="14.25" customHeight="1">
      <c r="C697" s="9"/>
    </row>
    <row r="698" ht="14.25" customHeight="1">
      <c r="C698" s="9"/>
    </row>
    <row r="699" ht="14.25" customHeight="1">
      <c r="C699" s="9"/>
    </row>
    <row r="700" ht="14.25" customHeight="1">
      <c r="C700" s="9"/>
    </row>
    <row r="701" ht="14.25" customHeight="1">
      <c r="C701" s="9"/>
    </row>
    <row r="702" ht="14.25" customHeight="1">
      <c r="C702" s="9"/>
    </row>
    <row r="703" ht="14.25" customHeight="1">
      <c r="C703" s="9"/>
    </row>
    <row r="704" ht="14.25" customHeight="1">
      <c r="C704" s="9"/>
    </row>
    <row r="705" ht="14.25" customHeight="1">
      <c r="C705" s="9"/>
    </row>
    <row r="706" ht="14.25" customHeight="1">
      <c r="C706" s="9"/>
    </row>
    <row r="707" ht="14.25" customHeight="1">
      <c r="C707" s="9"/>
    </row>
    <row r="708" ht="14.25" customHeight="1">
      <c r="C708" s="9"/>
    </row>
    <row r="709" ht="14.25" customHeight="1">
      <c r="C709" s="9"/>
    </row>
    <row r="710" ht="14.25" customHeight="1">
      <c r="C710" s="9"/>
    </row>
    <row r="711" ht="14.25" customHeight="1">
      <c r="C711" s="9"/>
    </row>
    <row r="712" ht="14.25" customHeight="1">
      <c r="C712" s="9"/>
    </row>
    <row r="713" ht="14.25" customHeight="1">
      <c r="C713" s="9"/>
    </row>
    <row r="714" ht="14.25" customHeight="1">
      <c r="C714" s="9"/>
    </row>
    <row r="715" ht="14.25" customHeight="1">
      <c r="C715" s="9"/>
    </row>
    <row r="716" ht="14.25" customHeight="1">
      <c r="C716" s="9"/>
    </row>
    <row r="717" ht="14.25" customHeight="1">
      <c r="C717" s="9"/>
    </row>
    <row r="718" ht="14.25" customHeight="1">
      <c r="C718" s="9"/>
    </row>
    <row r="719" ht="14.25" customHeight="1">
      <c r="C719" s="9"/>
    </row>
    <row r="720" ht="14.25" customHeight="1">
      <c r="C720" s="9"/>
    </row>
    <row r="721" ht="14.25" customHeight="1">
      <c r="C721" s="9"/>
    </row>
    <row r="722" ht="14.25" customHeight="1">
      <c r="C722" s="9"/>
    </row>
    <row r="723" ht="14.25" customHeight="1">
      <c r="C723" s="9"/>
    </row>
    <row r="724" ht="14.25" customHeight="1">
      <c r="C724" s="9"/>
    </row>
    <row r="725" ht="14.25" customHeight="1">
      <c r="C725" s="9"/>
    </row>
    <row r="726" ht="14.25" customHeight="1">
      <c r="C726" s="9"/>
    </row>
    <row r="727" ht="14.25" customHeight="1">
      <c r="C727" s="9"/>
    </row>
    <row r="728" ht="14.25" customHeight="1">
      <c r="C728" s="9"/>
    </row>
    <row r="729" ht="14.25" customHeight="1">
      <c r="C729" s="9"/>
    </row>
    <row r="730" ht="14.25" customHeight="1">
      <c r="C730" s="9"/>
    </row>
    <row r="731" ht="14.25" customHeight="1">
      <c r="C731" s="9"/>
    </row>
    <row r="732" ht="14.25" customHeight="1">
      <c r="C732" s="9"/>
    </row>
    <row r="733" ht="14.25" customHeight="1">
      <c r="C733" s="9"/>
    </row>
    <row r="734" ht="14.25" customHeight="1">
      <c r="C734" s="9"/>
    </row>
    <row r="735" ht="14.25" customHeight="1">
      <c r="C735" s="9"/>
    </row>
    <row r="736" ht="14.25" customHeight="1">
      <c r="C736" s="9"/>
    </row>
    <row r="737" ht="14.25" customHeight="1">
      <c r="C737" s="9"/>
    </row>
    <row r="738" ht="14.25" customHeight="1">
      <c r="C738" s="9"/>
    </row>
    <row r="739" ht="14.25" customHeight="1">
      <c r="C739" s="9"/>
    </row>
    <row r="740" ht="14.25" customHeight="1">
      <c r="C740" s="9"/>
    </row>
    <row r="741" ht="14.25" customHeight="1">
      <c r="C741" s="9"/>
    </row>
    <row r="742" ht="14.25" customHeight="1">
      <c r="C742" s="9"/>
    </row>
    <row r="743" ht="14.25" customHeight="1">
      <c r="C743" s="9"/>
    </row>
    <row r="744" ht="14.25" customHeight="1">
      <c r="C744" s="9"/>
    </row>
    <row r="745" ht="14.25" customHeight="1">
      <c r="C745" s="9"/>
    </row>
    <row r="746" ht="14.25" customHeight="1">
      <c r="C746" s="9"/>
    </row>
    <row r="747" ht="14.25" customHeight="1">
      <c r="C747" s="9"/>
    </row>
    <row r="748" ht="14.25" customHeight="1">
      <c r="C748" s="9"/>
    </row>
    <row r="749" ht="14.25" customHeight="1">
      <c r="C749" s="9"/>
    </row>
    <row r="750" ht="14.25" customHeight="1">
      <c r="C750" s="9"/>
    </row>
    <row r="751" ht="14.25" customHeight="1">
      <c r="C751" s="9"/>
    </row>
    <row r="752" ht="14.25" customHeight="1">
      <c r="C752" s="9"/>
    </row>
    <row r="753" ht="14.25" customHeight="1">
      <c r="C753" s="9"/>
    </row>
    <row r="754" ht="14.25" customHeight="1">
      <c r="C754" s="9"/>
    </row>
    <row r="755" ht="14.25" customHeight="1">
      <c r="C755" s="9"/>
    </row>
    <row r="756" ht="14.25" customHeight="1">
      <c r="C756" s="9"/>
    </row>
    <row r="757" ht="14.25" customHeight="1">
      <c r="C757" s="9"/>
    </row>
    <row r="758" ht="14.25" customHeight="1">
      <c r="C758" s="9"/>
    </row>
    <row r="759" ht="14.25" customHeight="1">
      <c r="C759" s="9"/>
    </row>
    <row r="760" ht="14.25" customHeight="1">
      <c r="C760" s="9"/>
    </row>
    <row r="761" ht="14.25" customHeight="1">
      <c r="C761" s="9"/>
    </row>
    <row r="762" ht="14.25" customHeight="1">
      <c r="C762" s="9"/>
    </row>
    <row r="763" ht="14.25" customHeight="1">
      <c r="C763" s="9"/>
    </row>
    <row r="764" ht="14.25" customHeight="1">
      <c r="C764" s="9"/>
    </row>
    <row r="765" ht="14.25" customHeight="1">
      <c r="C765" s="9"/>
    </row>
    <row r="766" ht="14.25" customHeight="1">
      <c r="C766" s="9"/>
    </row>
    <row r="767" ht="14.25" customHeight="1">
      <c r="C767" s="9"/>
    </row>
    <row r="768" ht="14.25" customHeight="1">
      <c r="C768" s="9"/>
    </row>
    <row r="769" ht="14.25" customHeight="1">
      <c r="C769" s="9"/>
    </row>
    <row r="770" ht="14.25" customHeight="1">
      <c r="C770" s="9"/>
    </row>
    <row r="771" ht="14.25" customHeight="1">
      <c r="C771" s="9"/>
    </row>
    <row r="772" ht="14.25" customHeight="1">
      <c r="C772" s="9"/>
    </row>
    <row r="773" ht="14.25" customHeight="1">
      <c r="C773" s="9"/>
    </row>
    <row r="774" ht="14.25" customHeight="1">
      <c r="C774" s="9"/>
    </row>
    <row r="775" ht="14.25" customHeight="1">
      <c r="C775" s="9"/>
    </row>
    <row r="776" ht="14.25" customHeight="1">
      <c r="C776" s="9"/>
    </row>
    <row r="777" ht="14.25" customHeight="1">
      <c r="C777" s="9"/>
    </row>
    <row r="778" ht="14.25" customHeight="1">
      <c r="C778" s="9"/>
    </row>
    <row r="779" ht="14.25" customHeight="1">
      <c r="C779" s="9"/>
    </row>
    <row r="780" ht="14.25" customHeight="1">
      <c r="C780" s="9"/>
    </row>
    <row r="781" ht="14.25" customHeight="1">
      <c r="C781" s="9"/>
    </row>
    <row r="782" ht="14.25" customHeight="1">
      <c r="C782" s="9"/>
    </row>
    <row r="783" ht="14.25" customHeight="1">
      <c r="C783" s="9"/>
    </row>
    <row r="784" ht="14.25" customHeight="1">
      <c r="C784" s="9"/>
    </row>
    <row r="785" ht="14.25" customHeight="1">
      <c r="C785" s="9"/>
    </row>
    <row r="786" ht="14.25" customHeight="1">
      <c r="C786" s="9"/>
    </row>
    <row r="787" ht="14.25" customHeight="1">
      <c r="C787" s="9"/>
    </row>
    <row r="788" ht="14.25" customHeight="1">
      <c r="C788" s="9"/>
    </row>
    <row r="789" ht="14.25" customHeight="1">
      <c r="C789" s="9"/>
    </row>
    <row r="790" ht="14.25" customHeight="1">
      <c r="C790" s="9"/>
    </row>
    <row r="791" ht="14.25" customHeight="1">
      <c r="C791" s="9"/>
    </row>
    <row r="792" ht="14.25" customHeight="1">
      <c r="C792" s="9"/>
    </row>
    <row r="793" ht="14.25" customHeight="1">
      <c r="C793" s="9"/>
    </row>
    <row r="794" ht="14.25" customHeight="1">
      <c r="C794" s="9"/>
    </row>
    <row r="795" ht="14.25" customHeight="1">
      <c r="C795" s="9"/>
    </row>
    <row r="796" ht="14.25" customHeight="1">
      <c r="C796" s="9"/>
    </row>
    <row r="797" ht="14.25" customHeight="1">
      <c r="C797" s="9"/>
    </row>
    <row r="798" ht="14.25" customHeight="1">
      <c r="C798" s="9"/>
    </row>
    <row r="799" ht="14.25" customHeight="1">
      <c r="C799" s="9"/>
    </row>
    <row r="800" ht="14.25" customHeight="1">
      <c r="C800" s="9"/>
    </row>
    <row r="801" ht="14.25" customHeight="1">
      <c r="C801" s="9"/>
    </row>
    <row r="802" ht="14.25" customHeight="1">
      <c r="C802" s="9"/>
    </row>
    <row r="803" ht="14.25" customHeight="1">
      <c r="C803" s="9"/>
    </row>
    <row r="804" ht="14.25" customHeight="1">
      <c r="C804" s="9"/>
    </row>
    <row r="805" ht="14.25" customHeight="1">
      <c r="C805" s="9"/>
    </row>
    <row r="806" ht="14.25" customHeight="1">
      <c r="C806" s="9"/>
    </row>
    <row r="807" ht="14.25" customHeight="1">
      <c r="C807" s="9"/>
    </row>
    <row r="808" ht="14.25" customHeight="1">
      <c r="C808" s="9"/>
    </row>
    <row r="809" ht="14.25" customHeight="1">
      <c r="C809" s="9"/>
    </row>
    <row r="810" ht="14.25" customHeight="1">
      <c r="C810" s="9"/>
    </row>
    <row r="811" ht="14.25" customHeight="1">
      <c r="C811" s="9"/>
    </row>
    <row r="812" ht="14.25" customHeight="1">
      <c r="C812" s="9"/>
    </row>
    <row r="813" ht="14.25" customHeight="1">
      <c r="C813" s="9"/>
    </row>
    <row r="814" ht="14.25" customHeight="1">
      <c r="C814" s="9"/>
    </row>
    <row r="815" ht="14.25" customHeight="1">
      <c r="C815" s="9"/>
    </row>
    <row r="816" ht="14.25" customHeight="1">
      <c r="C816" s="9"/>
    </row>
    <row r="817" ht="14.25" customHeight="1">
      <c r="C817" s="9"/>
    </row>
    <row r="818" ht="14.25" customHeight="1">
      <c r="C818" s="9"/>
    </row>
    <row r="819" ht="14.25" customHeight="1">
      <c r="C819" s="9"/>
    </row>
    <row r="820" ht="14.25" customHeight="1">
      <c r="C820" s="9"/>
    </row>
    <row r="821" ht="14.25" customHeight="1">
      <c r="C821" s="9"/>
    </row>
    <row r="822" ht="14.25" customHeight="1">
      <c r="C822" s="9"/>
    </row>
    <row r="823" ht="14.25" customHeight="1">
      <c r="C823" s="9"/>
    </row>
    <row r="824" ht="14.25" customHeight="1">
      <c r="C824" s="9"/>
    </row>
    <row r="825" ht="14.25" customHeight="1">
      <c r="C825" s="9"/>
    </row>
    <row r="826" ht="14.25" customHeight="1">
      <c r="C826" s="9"/>
    </row>
    <row r="827" ht="14.25" customHeight="1">
      <c r="C827" s="9"/>
    </row>
    <row r="828" ht="14.25" customHeight="1">
      <c r="C828" s="9"/>
    </row>
    <row r="829" ht="14.25" customHeight="1">
      <c r="C829" s="9"/>
    </row>
    <row r="830" ht="14.25" customHeight="1">
      <c r="C830" s="9"/>
    </row>
    <row r="831" ht="14.25" customHeight="1">
      <c r="C831" s="9"/>
    </row>
    <row r="832" ht="14.25" customHeight="1">
      <c r="C832" s="9"/>
    </row>
    <row r="833" ht="14.25" customHeight="1">
      <c r="C833" s="9"/>
    </row>
    <row r="834" ht="14.25" customHeight="1">
      <c r="C834" s="9"/>
    </row>
    <row r="835" ht="14.25" customHeight="1">
      <c r="C835" s="9"/>
    </row>
    <row r="836" ht="14.25" customHeight="1">
      <c r="C836" s="9"/>
    </row>
    <row r="837" ht="14.25" customHeight="1">
      <c r="C837" s="9"/>
    </row>
    <row r="838" ht="14.25" customHeight="1">
      <c r="C838" s="9"/>
    </row>
    <row r="839" ht="14.25" customHeight="1">
      <c r="C839" s="9"/>
    </row>
    <row r="840" ht="14.25" customHeight="1">
      <c r="C840" s="9"/>
    </row>
    <row r="841" ht="14.25" customHeight="1">
      <c r="C841" s="9"/>
    </row>
    <row r="842" ht="14.25" customHeight="1">
      <c r="C842" s="9"/>
    </row>
    <row r="843" ht="14.25" customHeight="1">
      <c r="C843" s="9"/>
    </row>
    <row r="844" ht="14.25" customHeight="1">
      <c r="C844" s="9"/>
    </row>
    <row r="845" ht="14.25" customHeight="1">
      <c r="C845" s="9"/>
    </row>
    <row r="846" ht="14.25" customHeight="1">
      <c r="C846" s="9"/>
    </row>
    <row r="847" ht="14.25" customHeight="1">
      <c r="C847" s="9"/>
    </row>
    <row r="848" ht="14.25" customHeight="1">
      <c r="C848" s="9"/>
    </row>
    <row r="849" ht="14.25" customHeight="1">
      <c r="C849" s="9"/>
    </row>
    <row r="850" ht="14.25" customHeight="1">
      <c r="C850" s="9"/>
    </row>
    <row r="851" ht="14.25" customHeight="1">
      <c r="C851" s="9"/>
    </row>
    <row r="852" ht="14.25" customHeight="1">
      <c r="C852" s="9"/>
    </row>
    <row r="853" ht="14.25" customHeight="1">
      <c r="C853" s="9"/>
    </row>
    <row r="854" ht="14.25" customHeight="1">
      <c r="C854" s="9"/>
    </row>
    <row r="855" ht="14.25" customHeight="1">
      <c r="C855" s="9"/>
    </row>
    <row r="856" ht="14.25" customHeight="1">
      <c r="C856" s="9"/>
    </row>
    <row r="857" ht="14.25" customHeight="1">
      <c r="C857" s="9"/>
    </row>
    <row r="858" ht="14.25" customHeight="1">
      <c r="C858" s="9"/>
    </row>
    <row r="859" ht="14.25" customHeight="1">
      <c r="C859" s="9"/>
    </row>
    <row r="860" ht="14.25" customHeight="1">
      <c r="C860" s="9"/>
    </row>
    <row r="861" ht="14.25" customHeight="1">
      <c r="C861" s="9"/>
    </row>
    <row r="862" ht="14.25" customHeight="1">
      <c r="C862" s="9"/>
    </row>
    <row r="863" ht="14.25" customHeight="1">
      <c r="C863" s="9"/>
    </row>
    <row r="864" ht="14.25" customHeight="1">
      <c r="C864" s="9"/>
    </row>
    <row r="865" ht="14.25" customHeight="1">
      <c r="C865" s="9"/>
    </row>
    <row r="866" ht="14.25" customHeight="1">
      <c r="C866" s="9"/>
    </row>
    <row r="867" ht="14.25" customHeight="1">
      <c r="C867" s="9"/>
    </row>
    <row r="868" ht="14.25" customHeight="1">
      <c r="C868" s="9"/>
    </row>
    <row r="869" ht="14.25" customHeight="1">
      <c r="C869" s="9"/>
    </row>
    <row r="870" ht="14.25" customHeight="1">
      <c r="C870" s="9"/>
    </row>
    <row r="871" ht="14.25" customHeight="1">
      <c r="C871" s="9"/>
    </row>
    <row r="872" ht="14.25" customHeight="1">
      <c r="C872" s="9"/>
    </row>
    <row r="873" ht="14.25" customHeight="1">
      <c r="C873" s="9"/>
    </row>
    <row r="874" ht="14.25" customHeight="1">
      <c r="C874" s="9"/>
    </row>
    <row r="875" ht="14.25" customHeight="1">
      <c r="C875" s="9"/>
    </row>
    <row r="876" ht="14.25" customHeight="1">
      <c r="C876" s="9"/>
    </row>
    <row r="877" ht="14.25" customHeight="1">
      <c r="C877" s="9"/>
    </row>
    <row r="878" ht="14.25" customHeight="1">
      <c r="C878" s="9"/>
    </row>
    <row r="879" ht="14.25" customHeight="1">
      <c r="C879" s="9"/>
    </row>
    <row r="880" ht="14.25" customHeight="1">
      <c r="C880" s="9"/>
    </row>
    <row r="881" ht="14.25" customHeight="1">
      <c r="C881" s="9"/>
    </row>
    <row r="882" ht="14.25" customHeight="1">
      <c r="C882" s="9"/>
    </row>
    <row r="883" ht="14.25" customHeight="1">
      <c r="C883" s="9"/>
    </row>
    <row r="884" ht="14.25" customHeight="1">
      <c r="C884" s="9"/>
    </row>
    <row r="885" ht="14.25" customHeight="1">
      <c r="C885" s="9"/>
    </row>
    <row r="886" ht="14.25" customHeight="1">
      <c r="C886" s="9"/>
    </row>
    <row r="887" ht="14.25" customHeight="1">
      <c r="C887" s="9"/>
    </row>
    <row r="888" ht="14.25" customHeight="1">
      <c r="C888" s="9"/>
    </row>
    <row r="889" ht="14.25" customHeight="1">
      <c r="C889" s="9"/>
    </row>
    <row r="890" ht="14.25" customHeight="1">
      <c r="C890" s="9"/>
    </row>
    <row r="891" ht="14.25" customHeight="1">
      <c r="C891" s="9"/>
    </row>
    <row r="892" ht="14.25" customHeight="1">
      <c r="C892" s="9"/>
    </row>
    <row r="893" ht="14.25" customHeight="1">
      <c r="C893" s="9"/>
    </row>
    <row r="894" ht="14.25" customHeight="1">
      <c r="C894" s="9"/>
    </row>
    <row r="895" ht="14.25" customHeight="1">
      <c r="C895" s="9"/>
    </row>
    <row r="896" ht="14.25" customHeight="1">
      <c r="C896" s="9"/>
    </row>
    <row r="897" ht="14.25" customHeight="1">
      <c r="C897" s="9"/>
    </row>
    <row r="898" ht="14.25" customHeight="1">
      <c r="C898" s="9"/>
    </row>
    <row r="899" ht="14.25" customHeight="1">
      <c r="C899" s="9"/>
    </row>
    <row r="900" ht="14.25" customHeight="1">
      <c r="C900" s="9"/>
    </row>
    <row r="901" ht="14.25" customHeight="1">
      <c r="C901" s="9"/>
    </row>
    <row r="902" ht="14.25" customHeight="1">
      <c r="C902" s="9"/>
    </row>
    <row r="903" ht="14.25" customHeight="1">
      <c r="C903" s="9"/>
    </row>
    <row r="904" ht="14.25" customHeight="1">
      <c r="C904" s="9"/>
    </row>
    <row r="905" ht="14.25" customHeight="1">
      <c r="C905" s="9"/>
    </row>
    <row r="906" ht="14.25" customHeight="1">
      <c r="C906" s="9"/>
    </row>
    <row r="907" ht="14.25" customHeight="1">
      <c r="C907" s="9"/>
    </row>
    <row r="908" ht="14.25" customHeight="1">
      <c r="C908" s="9"/>
    </row>
    <row r="909" ht="14.25" customHeight="1">
      <c r="C909" s="9"/>
    </row>
    <row r="910" ht="14.25" customHeight="1">
      <c r="C910" s="9"/>
    </row>
    <row r="911" ht="14.25" customHeight="1">
      <c r="C911" s="9"/>
    </row>
    <row r="912" ht="14.25" customHeight="1">
      <c r="C912" s="9"/>
    </row>
    <row r="913" ht="14.25" customHeight="1">
      <c r="C913" s="9"/>
    </row>
    <row r="914" ht="14.25" customHeight="1">
      <c r="C914" s="9"/>
    </row>
    <row r="915" ht="14.25" customHeight="1">
      <c r="C915" s="9"/>
    </row>
    <row r="916" ht="14.25" customHeight="1">
      <c r="C916" s="9"/>
    </row>
    <row r="917" ht="14.25" customHeight="1">
      <c r="C917" s="9"/>
    </row>
    <row r="918" ht="14.25" customHeight="1">
      <c r="C918" s="9"/>
    </row>
    <row r="919" ht="14.25" customHeight="1">
      <c r="C919" s="9"/>
    </row>
    <row r="920" ht="14.25" customHeight="1">
      <c r="C920" s="9"/>
    </row>
    <row r="921" ht="14.25" customHeight="1">
      <c r="C921" s="9"/>
    </row>
    <row r="922" ht="14.25" customHeight="1">
      <c r="C922" s="9"/>
    </row>
    <row r="923" ht="14.25" customHeight="1">
      <c r="C923" s="9"/>
    </row>
    <row r="924" ht="14.25" customHeight="1">
      <c r="C924" s="9"/>
    </row>
    <row r="925" ht="14.25" customHeight="1">
      <c r="C925" s="9"/>
    </row>
    <row r="926" ht="14.25" customHeight="1">
      <c r="C926" s="9"/>
    </row>
    <row r="927" ht="14.25" customHeight="1">
      <c r="C927" s="9"/>
    </row>
    <row r="928" ht="14.25" customHeight="1">
      <c r="C928" s="9"/>
    </row>
    <row r="929" ht="14.25" customHeight="1">
      <c r="C929" s="9"/>
    </row>
    <row r="930" ht="14.25" customHeight="1">
      <c r="C930" s="9"/>
    </row>
    <row r="931" ht="14.25" customHeight="1">
      <c r="C931" s="9"/>
    </row>
    <row r="932" ht="14.25" customHeight="1">
      <c r="C932" s="9"/>
    </row>
    <row r="933" ht="14.25" customHeight="1">
      <c r="C933" s="9"/>
    </row>
    <row r="934" ht="14.25" customHeight="1">
      <c r="C934" s="9"/>
    </row>
    <row r="935" ht="14.25" customHeight="1">
      <c r="C935" s="9"/>
    </row>
    <row r="936" ht="14.25" customHeight="1">
      <c r="C936" s="9"/>
    </row>
    <row r="937" ht="14.25" customHeight="1">
      <c r="C937" s="9"/>
    </row>
    <row r="938" ht="14.25" customHeight="1">
      <c r="C938" s="9"/>
    </row>
    <row r="939" ht="14.25" customHeight="1">
      <c r="C939" s="9"/>
    </row>
    <row r="940" ht="14.25" customHeight="1">
      <c r="C940" s="9"/>
    </row>
    <row r="941" ht="14.25" customHeight="1">
      <c r="C941" s="9"/>
    </row>
    <row r="942" ht="14.25" customHeight="1">
      <c r="C942" s="9"/>
    </row>
    <row r="943" ht="14.25" customHeight="1">
      <c r="C943" s="9"/>
    </row>
    <row r="944" ht="14.25" customHeight="1">
      <c r="C944" s="9"/>
    </row>
    <row r="945" ht="14.25" customHeight="1">
      <c r="C945" s="9"/>
    </row>
    <row r="946" ht="14.25" customHeight="1">
      <c r="C946" s="9"/>
    </row>
    <row r="947" ht="14.25" customHeight="1">
      <c r="C947" s="9"/>
    </row>
    <row r="948" ht="14.25" customHeight="1">
      <c r="C948" s="9"/>
    </row>
    <row r="949" ht="14.25" customHeight="1">
      <c r="C949" s="9"/>
    </row>
    <row r="950" ht="14.25" customHeight="1">
      <c r="C950" s="9"/>
    </row>
    <row r="951" ht="14.25" customHeight="1">
      <c r="C951" s="9"/>
    </row>
    <row r="952" ht="14.25" customHeight="1">
      <c r="C952" s="9"/>
    </row>
    <row r="953" ht="14.25" customHeight="1">
      <c r="C953" s="9"/>
    </row>
    <row r="954" ht="14.25" customHeight="1">
      <c r="C954" s="9"/>
    </row>
    <row r="955" ht="14.25" customHeight="1">
      <c r="C955" s="9"/>
    </row>
    <row r="956" ht="14.25" customHeight="1">
      <c r="C956" s="9"/>
    </row>
    <row r="957" ht="14.25" customHeight="1">
      <c r="C957" s="9"/>
    </row>
    <row r="958" ht="14.25" customHeight="1">
      <c r="C958" s="9"/>
    </row>
    <row r="959" ht="14.25" customHeight="1">
      <c r="C959" s="9"/>
    </row>
    <row r="960" ht="14.25" customHeight="1">
      <c r="C960" s="9"/>
    </row>
    <row r="961" ht="14.25" customHeight="1">
      <c r="C961" s="9"/>
    </row>
    <row r="962" ht="14.25" customHeight="1">
      <c r="C962" s="9"/>
    </row>
    <row r="963" ht="14.25" customHeight="1">
      <c r="C963" s="9"/>
    </row>
    <row r="964" ht="14.25" customHeight="1">
      <c r="C964" s="9"/>
    </row>
    <row r="965" ht="14.25" customHeight="1">
      <c r="C965" s="9"/>
    </row>
    <row r="966" ht="14.25" customHeight="1">
      <c r="C966" s="9"/>
    </row>
    <row r="967" ht="14.25" customHeight="1">
      <c r="C967" s="9"/>
    </row>
    <row r="968" ht="14.25" customHeight="1">
      <c r="C968" s="9"/>
    </row>
    <row r="969" ht="14.25" customHeight="1">
      <c r="C969" s="9"/>
    </row>
    <row r="970" ht="14.25" customHeight="1">
      <c r="C970" s="9"/>
    </row>
    <row r="971" ht="14.25" customHeight="1">
      <c r="C971" s="9"/>
    </row>
    <row r="972" ht="14.25" customHeight="1">
      <c r="C972" s="9"/>
    </row>
    <row r="973" ht="14.25" customHeight="1">
      <c r="C973" s="9"/>
    </row>
    <row r="974" ht="14.25" customHeight="1">
      <c r="C974" s="9"/>
    </row>
    <row r="975" ht="14.25" customHeight="1">
      <c r="C975" s="9"/>
    </row>
    <row r="976" ht="14.25" customHeight="1">
      <c r="C976" s="9"/>
    </row>
    <row r="977" ht="14.25" customHeight="1">
      <c r="C977" s="9"/>
    </row>
    <row r="978" ht="14.25" customHeight="1">
      <c r="C978" s="9"/>
    </row>
    <row r="979" ht="14.25" customHeight="1">
      <c r="C979" s="9"/>
    </row>
    <row r="980" ht="14.25" customHeight="1">
      <c r="C980" s="9"/>
    </row>
    <row r="981" ht="14.25" customHeight="1">
      <c r="C981" s="9"/>
    </row>
    <row r="982" ht="14.25" customHeight="1">
      <c r="C982" s="9"/>
    </row>
    <row r="983" ht="14.25" customHeight="1">
      <c r="C983" s="9"/>
    </row>
    <row r="984" ht="14.25" customHeight="1">
      <c r="C984" s="9"/>
    </row>
    <row r="985" ht="14.25" customHeight="1">
      <c r="C985" s="9"/>
    </row>
    <row r="986" ht="14.25" customHeight="1">
      <c r="C986" s="9"/>
    </row>
    <row r="987" ht="14.25" customHeight="1">
      <c r="C987" s="9"/>
    </row>
    <row r="988" ht="14.25" customHeight="1">
      <c r="C988" s="9"/>
    </row>
    <row r="989" ht="14.25" customHeight="1">
      <c r="C989" s="9"/>
    </row>
    <row r="990" ht="14.25" customHeight="1">
      <c r="C990" s="9"/>
    </row>
    <row r="991" ht="14.25" customHeight="1">
      <c r="C991" s="9"/>
    </row>
    <row r="992" ht="14.25" customHeight="1">
      <c r="C992" s="9"/>
    </row>
    <row r="993" ht="14.25" customHeight="1">
      <c r="C993" s="9"/>
    </row>
    <row r="994" ht="14.25" customHeight="1">
      <c r="C994" s="9"/>
    </row>
    <row r="995" ht="14.25" customHeight="1">
      <c r="C995" s="9"/>
    </row>
    <row r="996" ht="14.25" customHeight="1">
      <c r="C996" s="9"/>
    </row>
    <row r="997" ht="14.25" customHeight="1">
      <c r="C997" s="9"/>
    </row>
    <row r="998" ht="14.25" customHeight="1">
      <c r="C998" s="9"/>
    </row>
  </sheetData>
  <mergeCells count="11">
    <mergeCell ref="E28:G30"/>
    <mergeCell ref="J32:L33"/>
    <mergeCell ref="J41:N44"/>
    <mergeCell ref="E43:G49"/>
    <mergeCell ref="J45:N47"/>
    <mergeCell ref="P32:R39"/>
    <mergeCell ref="D25:R26"/>
    <mergeCell ref="N54:R56"/>
    <mergeCell ref="N58:R62"/>
    <mergeCell ref="N64:R66"/>
    <mergeCell ref="O67:T68"/>
  </mergeCells>
  <conditionalFormatting sqref="G32:G42">
    <cfRule type="cellIs" dxfId="0" priority="1" operator="greaterThan">
      <formula>20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63"/>
    <col customWidth="1" min="2" max="2" width="9.88"/>
    <col customWidth="1" min="3" max="3" width="8.63"/>
    <col customWidth="1" min="4" max="4" width="11.13"/>
    <col customWidth="1" min="5" max="26" width="8.63"/>
  </cols>
  <sheetData>
    <row r="1" ht="14.25" customHeight="1">
      <c r="A1" s="1" t="s">
        <v>97</v>
      </c>
      <c r="B1" s="1" t="s">
        <v>98</v>
      </c>
      <c r="C1" s="1" t="s">
        <v>99</v>
      </c>
      <c r="D1" s="1" t="s">
        <v>75</v>
      </c>
      <c r="E1" s="3">
        <v>1.0</v>
      </c>
      <c r="F1" s="3">
        <v>2.0</v>
      </c>
      <c r="G1" s="3">
        <v>3.0</v>
      </c>
      <c r="H1" s="3">
        <v>4.0</v>
      </c>
      <c r="I1" s="4">
        <v>5.0</v>
      </c>
      <c r="J1" s="5">
        <v>6.0</v>
      </c>
      <c r="K1" s="5">
        <v>7.0</v>
      </c>
      <c r="L1" s="5">
        <v>8.0</v>
      </c>
      <c r="M1" s="5">
        <v>9.0</v>
      </c>
      <c r="N1" s="5">
        <v>10.0</v>
      </c>
      <c r="O1" s="3">
        <v>11.0</v>
      </c>
      <c r="P1" s="3">
        <v>12.0</v>
      </c>
      <c r="Q1" s="3">
        <v>13.0</v>
      </c>
      <c r="R1" s="3">
        <v>14.0</v>
      </c>
      <c r="S1" s="3">
        <v>15.0</v>
      </c>
      <c r="T1" s="6" t="s">
        <v>4</v>
      </c>
      <c r="U1" s="1"/>
      <c r="V1" s="1"/>
      <c r="W1" s="1"/>
      <c r="X1" s="1"/>
      <c r="Y1" s="1"/>
      <c r="Z1" s="1"/>
    </row>
    <row r="2" ht="14.25" customHeight="1">
      <c r="A2" s="8">
        <v>1.0</v>
      </c>
      <c r="B2" s="7">
        <v>45484.0</v>
      </c>
      <c r="C2" s="8" t="s">
        <v>5</v>
      </c>
      <c r="D2" s="8" t="s">
        <v>6</v>
      </c>
      <c r="E2" s="73">
        <v>17.606108500011</v>
      </c>
      <c r="F2" s="73">
        <v>8.52369589998852</v>
      </c>
      <c r="G2" s="73">
        <v>6.78459669998846</v>
      </c>
      <c r="H2" s="73">
        <v>8.81188740002107</v>
      </c>
      <c r="I2" s="73">
        <v>5.0253469000163</v>
      </c>
      <c r="J2" s="73">
        <v>6.88232810000772</v>
      </c>
      <c r="K2" s="73">
        <v>8.87547520000953</v>
      </c>
      <c r="L2" s="73">
        <v>7.60159400000702</v>
      </c>
      <c r="M2" s="73">
        <v>4.38132260000566</v>
      </c>
      <c r="N2" s="73">
        <v>7.55472660000668</v>
      </c>
      <c r="O2" s="73">
        <v>7.16379560000496</v>
      </c>
      <c r="P2" s="73">
        <v>4.33386280000559</v>
      </c>
      <c r="Q2" s="73">
        <v>8.91094599998905</v>
      </c>
      <c r="R2" s="73">
        <v>4.49767549999523</v>
      </c>
      <c r="S2" s="73">
        <v>6.50275089999195</v>
      </c>
      <c r="T2" s="74">
        <f t="shared" ref="T2:T30" si="1">AVERAGE(E2:S2)</f>
        <v>7.563740847</v>
      </c>
    </row>
    <row r="3" ht="14.25" customHeight="1">
      <c r="A3" s="8">
        <v>2.0</v>
      </c>
      <c r="B3" s="7">
        <v>45490.0</v>
      </c>
      <c r="C3" s="8" t="s">
        <v>7</v>
      </c>
      <c r="D3" s="8" t="s">
        <v>8</v>
      </c>
      <c r="E3" s="73">
        <v>53.4455873479998</v>
      </c>
      <c r="F3" s="73">
        <v>13.0408591489999</v>
      </c>
      <c r="G3" s="73">
        <v>8.13000652900018</v>
      </c>
      <c r="H3" s="73">
        <v>16.4966358180001</v>
      </c>
      <c r="I3" s="73">
        <v>3.18122191700013</v>
      </c>
      <c r="J3" s="73">
        <v>8.38167596700009</v>
      </c>
      <c r="K3" s="73">
        <v>4.11296532599999</v>
      </c>
      <c r="L3" s="73">
        <v>1.88604431699991</v>
      </c>
      <c r="M3" s="73">
        <v>3.477229265</v>
      </c>
      <c r="N3" s="73">
        <v>5.01095377399997</v>
      </c>
      <c r="O3" s="73">
        <v>4.65348861399979</v>
      </c>
      <c r="P3" s="73">
        <v>2.02654976200005</v>
      </c>
      <c r="Q3" s="73">
        <v>3.18840316599994</v>
      </c>
      <c r="R3" s="73">
        <v>4.99378803099989</v>
      </c>
      <c r="S3" s="73">
        <v>4.33077709600002</v>
      </c>
      <c r="T3" s="74">
        <f t="shared" si="1"/>
        <v>9.090412405</v>
      </c>
    </row>
    <row r="4" ht="14.25" customHeight="1">
      <c r="A4" s="8">
        <v>3.0</v>
      </c>
      <c r="B4" s="7">
        <v>45477.0</v>
      </c>
      <c r="C4" s="8" t="s">
        <v>9</v>
      </c>
      <c r="D4" s="8" t="s">
        <v>10</v>
      </c>
      <c r="E4" s="73">
        <v>7.68208440300031</v>
      </c>
      <c r="F4" s="73">
        <v>4.52123207100021</v>
      </c>
      <c r="G4" s="73">
        <v>6.43730339800004</v>
      </c>
      <c r="H4" s="73">
        <v>3.37213805500005</v>
      </c>
      <c r="I4" s="73">
        <v>3.59396581400005</v>
      </c>
      <c r="J4" s="73">
        <v>4.2688313929998</v>
      </c>
      <c r="K4" s="73">
        <v>3.21943725999972</v>
      </c>
      <c r="L4" s="73">
        <v>1.04510733000006</v>
      </c>
      <c r="M4" s="73">
        <v>3.25518691200022</v>
      </c>
      <c r="N4" s="73">
        <v>1.58691577199988</v>
      </c>
      <c r="O4" s="73">
        <v>1.46629925200022</v>
      </c>
      <c r="P4" s="73">
        <v>0.367602108000028</v>
      </c>
      <c r="Q4" s="73">
        <v>1.67012717399984</v>
      </c>
      <c r="R4" s="73">
        <v>1.22867838899992</v>
      </c>
      <c r="S4" s="73">
        <v>7.68234659500012</v>
      </c>
      <c r="T4" s="74">
        <f t="shared" si="1"/>
        <v>3.426483728</v>
      </c>
    </row>
    <row r="5" ht="14.25" customHeight="1">
      <c r="A5" s="8">
        <v>4.0</v>
      </c>
      <c r="B5" s="7">
        <v>45482.0</v>
      </c>
      <c r="C5" s="8" t="s">
        <v>12</v>
      </c>
      <c r="D5" s="8" t="s">
        <v>13</v>
      </c>
      <c r="E5" s="73">
        <v>15.2875124999991</v>
      </c>
      <c r="F5" s="73">
        <v>20.4969972079998</v>
      </c>
      <c r="G5" s="73">
        <v>17.0717766250018</v>
      </c>
      <c r="H5" s="73">
        <v>11.4404309160017</v>
      </c>
      <c r="I5" s="73">
        <v>9.63765491599042</v>
      </c>
      <c r="J5" s="73">
        <v>5.3504525419994</v>
      </c>
      <c r="K5" s="73">
        <v>4.61630141700152</v>
      </c>
      <c r="L5" s="73">
        <v>5.48316416599846</v>
      </c>
      <c r="M5" s="73">
        <v>5.32244374998845</v>
      </c>
      <c r="N5" s="73">
        <v>5.55905254199751</v>
      </c>
      <c r="O5" s="73">
        <v>1.65045270900009</v>
      </c>
      <c r="P5" s="73">
        <v>2.19960329199966</v>
      </c>
      <c r="Q5" s="73">
        <v>7.88858933400479</v>
      </c>
      <c r="R5" s="73">
        <v>18.9391038329922</v>
      </c>
      <c r="S5" s="73">
        <v>9.42278924999118</v>
      </c>
      <c r="T5" s="74">
        <f t="shared" si="1"/>
        <v>9.357755</v>
      </c>
    </row>
    <row r="6" ht="14.25" customHeight="1">
      <c r="A6" s="8">
        <v>5.0</v>
      </c>
      <c r="B6" s="7">
        <v>45477.0</v>
      </c>
      <c r="C6" s="8" t="s">
        <v>15</v>
      </c>
      <c r="D6" s="8" t="s">
        <v>16</v>
      </c>
      <c r="E6" s="73">
        <v>16.2646150998771</v>
      </c>
      <c r="F6" s="73">
        <v>6.38790800003334</v>
      </c>
      <c r="G6" s="73">
        <v>4.24622009997256</v>
      </c>
      <c r="H6" s="73">
        <v>5.00570370000787</v>
      </c>
      <c r="I6" s="73">
        <v>5.69107229984365</v>
      </c>
      <c r="J6" s="73">
        <v>3.22711029998026</v>
      </c>
      <c r="K6" s="73">
        <v>10.592103500152</v>
      </c>
      <c r="L6" s="73">
        <v>4.06709709996357</v>
      </c>
      <c r="M6" s="73">
        <v>15.7739999999757</v>
      </c>
      <c r="N6" s="73">
        <v>13.0079000000841</v>
      </c>
      <c r="O6" s="73">
        <v>8.31675229989923</v>
      </c>
      <c r="P6" s="73">
        <v>8.3262654999271</v>
      </c>
      <c r="Q6" s="73">
        <v>5.72332240012474</v>
      </c>
      <c r="R6" s="73">
        <v>13.0900286999531</v>
      </c>
      <c r="S6" s="73">
        <v>15.6027085001114</v>
      </c>
      <c r="T6" s="74">
        <f t="shared" si="1"/>
        <v>9.0215205</v>
      </c>
    </row>
    <row r="7" ht="14.25" customHeight="1">
      <c r="A7" s="8">
        <v>6.0</v>
      </c>
      <c r="B7" s="7">
        <v>45484.0</v>
      </c>
      <c r="C7" s="8" t="s">
        <v>17</v>
      </c>
      <c r="D7" s="8" t="s">
        <v>100</v>
      </c>
      <c r="E7" s="73">
        <v>3.57928058298421</v>
      </c>
      <c r="F7" s="73">
        <v>8.14549150000675</v>
      </c>
      <c r="G7" s="73">
        <v>6.63072854201891</v>
      </c>
      <c r="H7" s="73">
        <v>11.8015882500039</v>
      </c>
      <c r="I7" s="73">
        <v>12.8817358750093</v>
      </c>
      <c r="J7" s="73">
        <v>4.23098733299411</v>
      </c>
      <c r="K7" s="73">
        <v>5.95164087499142</v>
      </c>
      <c r="L7" s="73">
        <v>4.13679233298171</v>
      </c>
      <c r="M7" s="73">
        <v>3.58892745801131</v>
      </c>
      <c r="N7" s="73">
        <v>9.33870554098393</v>
      </c>
      <c r="O7" s="73">
        <v>7.99785299997893</v>
      </c>
      <c r="P7" s="73">
        <v>2.88327562500489</v>
      </c>
      <c r="Q7" s="73">
        <v>3.9122470000002</v>
      </c>
      <c r="R7" s="73">
        <v>4.95371233299374</v>
      </c>
      <c r="S7" s="73">
        <v>5.27100695899571</v>
      </c>
      <c r="T7" s="74">
        <f t="shared" si="1"/>
        <v>6.353598214</v>
      </c>
    </row>
    <row r="8" ht="14.25" customHeight="1">
      <c r="A8" s="8">
        <v>7.0</v>
      </c>
      <c r="B8" s="7">
        <v>45477.0</v>
      </c>
      <c r="C8" s="8" t="s">
        <v>20</v>
      </c>
      <c r="D8" s="8" t="s">
        <v>21</v>
      </c>
      <c r="E8" s="73">
        <v>6.27727948699976</v>
      </c>
      <c r="F8" s="73">
        <v>5.24381532499955</v>
      </c>
      <c r="G8" s="73">
        <v>4.01313686499997</v>
      </c>
      <c r="H8" s="73">
        <v>5.03766590900068</v>
      </c>
      <c r="I8" s="73">
        <v>3.69213801800015</v>
      </c>
      <c r="J8" s="73">
        <v>6.61194422800053</v>
      </c>
      <c r="K8" s="73">
        <v>3.23908896300054</v>
      </c>
      <c r="L8" s="73">
        <v>3.70174697499987</v>
      </c>
      <c r="M8" s="73">
        <v>4.64007981899976</v>
      </c>
      <c r="N8" s="73">
        <v>2.75521548899996</v>
      </c>
      <c r="O8" s="73">
        <v>2.12933830400015</v>
      </c>
      <c r="P8" s="73">
        <v>1.75620833399989</v>
      </c>
      <c r="Q8" s="73">
        <v>2.03480330299953</v>
      </c>
      <c r="R8" s="73">
        <v>2.7226231250006</v>
      </c>
      <c r="S8" s="73">
        <v>9.77496358200005</v>
      </c>
      <c r="T8" s="74">
        <f t="shared" si="1"/>
        <v>4.242003182</v>
      </c>
    </row>
    <row r="9" ht="14.25" customHeight="1">
      <c r="A9" s="8">
        <v>8.0</v>
      </c>
      <c r="B9" s="7">
        <v>45475.0</v>
      </c>
      <c r="C9" s="8" t="s">
        <v>22</v>
      </c>
      <c r="D9" s="8" t="s">
        <v>23</v>
      </c>
      <c r="E9" s="73">
        <v>5.07279129400012</v>
      </c>
      <c r="F9" s="73">
        <v>9.1816487760002</v>
      </c>
      <c r="G9" s="73">
        <v>6.94197236799982</v>
      </c>
      <c r="H9" s="73">
        <v>95.8981037850003</v>
      </c>
      <c r="I9" s="73">
        <v>14.4524608079996</v>
      </c>
      <c r="J9" s="73">
        <v>54.4994293509998</v>
      </c>
      <c r="K9" s="73">
        <v>31.8422337760002</v>
      </c>
      <c r="L9" s="73">
        <v>12.5003571699999</v>
      </c>
      <c r="M9" s="73">
        <v>10.3250984719998</v>
      </c>
      <c r="N9" s="73">
        <v>7.79521506300034</v>
      </c>
      <c r="O9" s="73">
        <v>1.76039188300001</v>
      </c>
      <c r="P9" s="73">
        <v>13.160915466</v>
      </c>
      <c r="Q9" s="73">
        <v>10.3251782820002</v>
      </c>
      <c r="R9" s="73">
        <v>11.0463554470002</v>
      </c>
      <c r="S9" s="73">
        <v>27.5650446599997</v>
      </c>
      <c r="T9" s="74">
        <f t="shared" si="1"/>
        <v>20.82447977</v>
      </c>
    </row>
    <row r="10" ht="14.25" customHeight="1">
      <c r="A10" s="8">
        <v>9.0</v>
      </c>
      <c r="B10" s="7">
        <v>45490.0</v>
      </c>
      <c r="C10" s="8" t="s">
        <v>25</v>
      </c>
      <c r="D10" s="8" t="s">
        <v>26</v>
      </c>
      <c r="E10" s="73">
        <v>13.031811149</v>
      </c>
      <c r="F10" s="73">
        <v>13.1390008120001</v>
      </c>
      <c r="G10" s="73">
        <v>28.507896773</v>
      </c>
      <c r="H10" s="73">
        <v>6.02971587899992</v>
      </c>
      <c r="I10" s="73">
        <v>4.78733846099976</v>
      </c>
      <c r="J10" s="73">
        <v>9.12885559100004</v>
      </c>
      <c r="K10" s="73">
        <v>5.02422822700009</v>
      </c>
      <c r="L10" s="73">
        <v>4.6963312720004</v>
      </c>
      <c r="M10" s="73">
        <v>6.60771554799976</v>
      </c>
      <c r="N10" s="73">
        <v>3.15677867900012</v>
      </c>
      <c r="O10" s="73">
        <v>4.44029914400016</v>
      </c>
      <c r="P10" s="73">
        <v>4.57850028299981</v>
      </c>
      <c r="Q10" s="73">
        <v>6.8636288800003</v>
      </c>
      <c r="R10" s="73">
        <v>5.51005742999996</v>
      </c>
      <c r="S10" s="73">
        <v>9.63195034399996</v>
      </c>
      <c r="T10" s="74">
        <f t="shared" si="1"/>
        <v>8.342273898</v>
      </c>
    </row>
    <row r="11" ht="14.25" customHeight="1">
      <c r="A11" s="8">
        <v>10.0</v>
      </c>
      <c r="B11" s="7">
        <v>45482.0</v>
      </c>
      <c r="C11" s="8" t="s">
        <v>27</v>
      </c>
      <c r="D11" s="8" t="s">
        <v>28</v>
      </c>
      <c r="E11" s="73">
        <v>19.3799499580054</v>
      </c>
      <c r="F11" s="73">
        <v>18.8365447920077</v>
      </c>
      <c r="G11" s="73">
        <v>9.83988558300188</v>
      </c>
      <c r="H11" s="73">
        <v>12.7720732919988</v>
      </c>
      <c r="I11" s="73">
        <v>8.00622283300617</v>
      </c>
      <c r="J11" s="73">
        <v>13.180654583004</v>
      </c>
      <c r="K11" s="73">
        <v>18.4566522500099</v>
      </c>
      <c r="L11" s="73">
        <v>11.5138687500002</v>
      </c>
      <c r="M11" s="73">
        <v>7.62114312499761</v>
      </c>
      <c r="N11" s="73">
        <v>7.48921062500448</v>
      </c>
      <c r="O11" s="73">
        <v>5.99041133299761</v>
      </c>
      <c r="P11" s="73">
        <v>4.5695069580106</v>
      </c>
      <c r="Q11" s="73">
        <v>8.79926320801314</v>
      </c>
      <c r="R11" s="73">
        <v>4.35604441699979</v>
      </c>
      <c r="S11" s="73">
        <v>4.47529083301196</v>
      </c>
      <c r="T11" s="74">
        <f t="shared" si="1"/>
        <v>10.35244817</v>
      </c>
    </row>
    <row r="12" ht="14.25" customHeight="1">
      <c r="A12" s="8">
        <v>11.0</v>
      </c>
      <c r="B12" s="7">
        <v>45482.0</v>
      </c>
      <c r="C12" s="8" t="s">
        <v>29</v>
      </c>
      <c r="D12" s="8" t="s">
        <v>30</v>
      </c>
      <c r="E12" s="73">
        <v>23.4376745839981</v>
      </c>
      <c r="F12" s="73">
        <v>3.7707160830032</v>
      </c>
      <c r="G12" s="73">
        <v>5.32239579099405</v>
      </c>
      <c r="H12" s="73">
        <v>3.95475812499353</v>
      </c>
      <c r="I12" s="73">
        <v>6.40665179200004</v>
      </c>
      <c r="J12" s="73">
        <v>7.16389891700237</v>
      </c>
      <c r="K12" s="73">
        <v>3.14675316600187</v>
      </c>
      <c r="L12" s="73">
        <v>6.0983916670084</v>
      </c>
      <c r="M12" s="73">
        <v>6.3058256660006</v>
      </c>
      <c r="N12" s="73">
        <v>5.05554475000826</v>
      </c>
      <c r="O12" s="73">
        <v>2.96434166700055</v>
      </c>
      <c r="P12" s="73">
        <v>4.67244045899133</v>
      </c>
      <c r="Q12" s="73">
        <v>12.6316103749995</v>
      </c>
      <c r="R12" s="73">
        <v>6.02220495798974</v>
      </c>
      <c r="S12" s="73">
        <v>3.7706899170007</v>
      </c>
      <c r="T12" s="74">
        <f t="shared" si="1"/>
        <v>6.714926528</v>
      </c>
    </row>
    <row r="13" ht="14.25" customHeight="1">
      <c r="A13" s="8">
        <v>12.0</v>
      </c>
      <c r="B13" s="7">
        <v>45490.0</v>
      </c>
      <c r="C13" s="8" t="s">
        <v>31</v>
      </c>
      <c r="D13" s="8" t="s">
        <v>32</v>
      </c>
      <c r="E13" s="73">
        <v>17.5706078880002</v>
      </c>
      <c r="F13" s="73">
        <v>7.60088006599971</v>
      </c>
      <c r="G13" s="73">
        <v>7.98818326899981</v>
      </c>
      <c r="H13" s="73">
        <v>10.215325439</v>
      </c>
      <c r="I13" s="73">
        <v>3.61373862399977</v>
      </c>
      <c r="J13" s="73">
        <v>9.77107624100017</v>
      </c>
      <c r="K13" s="73">
        <v>7.03060597000012</v>
      </c>
      <c r="L13" s="73">
        <v>5.2803838220002</v>
      </c>
      <c r="M13" s="73">
        <v>12.3890960339999</v>
      </c>
      <c r="N13" s="73">
        <v>6.26568018399984</v>
      </c>
      <c r="O13" s="73">
        <v>7.69743799600019</v>
      </c>
      <c r="P13" s="73">
        <v>4.36616653800001</v>
      </c>
      <c r="Q13" s="73">
        <v>8.1783228649997</v>
      </c>
      <c r="R13" s="73">
        <v>5.17528720900008</v>
      </c>
      <c r="S13" s="73">
        <v>5.83788961199979</v>
      </c>
      <c r="T13" s="74">
        <f t="shared" si="1"/>
        <v>7.93204545</v>
      </c>
    </row>
    <row r="14" ht="14.25" customHeight="1">
      <c r="A14" s="8">
        <v>13.0</v>
      </c>
      <c r="B14" s="7">
        <v>45484.0</v>
      </c>
      <c r="C14" s="8" t="s">
        <v>33</v>
      </c>
      <c r="D14" s="8" t="s">
        <v>34</v>
      </c>
      <c r="E14" s="73">
        <v>14.9255091000231</v>
      </c>
      <c r="F14" s="73">
        <v>9.44121590000577</v>
      </c>
      <c r="G14" s="73">
        <v>5.95429280001553</v>
      </c>
      <c r="H14" s="73">
        <v>6.13398320000851</v>
      </c>
      <c r="I14" s="73">
        <v>7.82343519999994</v>
      </c>
      <c r="J14" s="73">
        <v>4.19635480002034</v>
      </c>
      <c r="K14" s="73">
        <v>4.09726020001107</v>
      </c>
      <c r="L14" s="73">
        <v>6.05978769998182</v>
      </c>
      <c r="M14" s="73">
        <v>13.8579991000005</v>
      </c>
      <c r="N14" s="73">
        <v>8.36340509998262</v>
      </c>
      <c r="O14" s="73">
        <v>4.27062830000068</v>
      </c>
      <c r="P14" s="73">
        <v>5.56945160002214</v>
      </c>
      <c r="Q14" s="73">
        <v>4.04523519999929</v>
      </c>
      <c r="R14" s="73">
        <v>4.20315980000305</v>
      </c>
      <c r="S14" s="73">
        <v>3.12154219998046</v>
      </c>
      <c r="T14" s="74">
        <f t="shared" si="1"/>
        <v>6.804217347</v>
      </c>
    </row>
    <row r="15" ht="14.25" customHeight="1">
      <c r="A15" s="8">
        <v>14.0</v>
      </c>
      <c r="B15" s="7">
        <v>45477.0</v>
      </c>
      <c r="C15" s="8" t="s">
        <v>35</v>
      </c>
      <c r="D15" s="8" t="s">
        <v>36</v>
      </c>
      <c r="E15" s="73">
        <v>7.29526597799986</v>
      </c>
      <c r="F15" s="73">
        <v>6.69158265700025</v>
      </c>
      <c r="G15" s="73">
        <v>4.45808055299994</v>
      </c>
      <c r="H15" s="73">
        <v>6.63618393600017</v>
      </c>
      <c r="I15" s="73">
        <v>3.13856745900011</v>
      </c>
      <c r="J15" s="73">
        <v>2.28544533400008</v>
      </c>
      <c r="K15" s="73">
        <v>1.62974884200002</v>
      </c>
      <c r="L15" s="73">
        <v>0.974164995000137</v>
      </c>
      <c r="M15" s="73">
        <v>0.543007015000057</v>
      </c>
      <c r="N15" s="73">
        <v>5.35907105900014</v>
      </c>
      <c r="O15" s="73">
        <v>3.01947809800003</v>
      </c>
      <c r="P15" s="73">
        <v>2.28494453699977</v>
      </c>
      <c r="Q15" s="73">
        <v>2.03537111000014</v>
      </c>
      <c r="R15" s="73">
        <v>3.32933434699998</v>
      </c>
      <c r="S15" s="73">
        <v>3.10541649300012</v>
      </c>
      <c r="T15" s="74">
        <f t="shared" si="1"/>
        <v>3.519044161</v>
      </c>
    </row>
    <row r="16" ht="14.25" customHeight="1">
      <c r="A16" s="8">
        <v>15.0</v>
      </c>
      <c r="B16" s="7">
        <v>45490.0</v>
      </c>
      <c r="C16" s="8" t="s">
        <v>37</v>
      </c>
      <c r="D16" s="8" t="s">
        <v>38</v>
      </c>
      <c r="E16" s="73">
        <v>18.4947037999518</v>
      </c>
      <c r="F16" s="73">
        <v>4.58391919999849</v>
      </c>
      <c r="G16" s="73">
        <v>8.80342070001643</v>
      </c>
      <c r="H16" s="73">
        <v>4.39053279999643</v>
      </c>
      <c r="I16" s="73">
        <v>4.37866519996896</v>
      </c>
      <c r="J16" s="73">
        <v>10.2854083999991</v>
      </c>
      <c r="K16" s="73">
        <v>8.34723039995879</v>
      </c>
      <c r="L16" s="73">
        <v>6.36444660008419</v>
      </c>
      <c r="M16" s="73">
        <v>5.1435631000204</v>
      </c>
      <c r="N16" s="73">
        <v>3.531777300057</v>
      </c>
      <c r="O16" s="73">
        <v>4.86797979997936</v>
      </c>
      <c r="P16" s="75">
        <v>7.199240663639179</v>
      </c>
      <c r="Q16" s="75">
        <v>7.199240663639179</v>
      </c>
      <c r="R16" s="75">
        <v>7.199240663639179</v>
      </c>
      <c r="S16" s="75">
        <v>7.199240663639179</v>
      </c>
      <c r="T16" s="74">
        <f t="shared" si="1"/>
        <v>7.199240664</v>
      </c>
    </row>
    <row r="17" ht="14.25" customHeight="1">
      <c r="A17" s="8">
        <v>16.0</v>
      </c>
      <c r="B17" s="7">
        <v>45476.0</v>
      </c>
      <c r="C17" s="8" t="s">
        <v>39</v>
      </c>
      <c r="D17" s="8" t="s">
        <v>40</v>
      </c>
      <c r="E17" s="73">
        <v>15.8342049000784</v>
      </c>
      <c r="F17" s="73">
        <v>9.61963650002144</v>
      </c>
      <c r="G17" s="73">
        <v>6.08700720011256</v>
      </c>
      <c r="H17" s="73">
        <v>7.25358259980566</v>
      </c>
      <c r="I17" s="73">
        <v>9.59325059992261</v>
      </c>
      <c r="J17" s="73">
        <v>3.41687380010262</v>
      </c>
      <c r="K17" s="73">
        <v>4.91266179992817</v>
      </c>
      <c r="L17" s="73">
        <v>4.43002910003997</v>
      </c>
      <c r="M17" s="73">
        <v>9.78216299996711</v>
      </c>
      <c r="N17" s="73">
        <v>6.23188209999352</v>
      </c>
      <c r="O17" s="73">
        <v>7.44632580014877</v>
      </c>
      <c r="P17" s="73">
        <v>9.62868770002387</v>
      </c>
      <c r="Q17" s="73">
        <v>3.70929579995572</v>
      </c>
      <c r="R17" s="73">
        <v>4.15379100013524</v>
      </c>
      <c r="S17" s="73">
        <v>4.95617489982396</v>
      </c>
      <c r="T17" s="74">
        <f t="shared" si="1"/>
        <v>7.137037787</v>
      </c>
    </row>
    <row r="18" ht="14.25" customHeight="1">
      <c r="A18" s="8">
        <v>17.0</v>
      </c>
      <c r="B18" s="7">
        <v>45476.0</v>
      </c>
      <c r="C18" s="8" t="s">
        <v>41</v>
      </c>
      <c r="D18" s="8" t="s">
        <v>42</v>
      </c>
      <c r="E18" s="73">
        <v>22.388007591</v>
      </c>
      <c r="F18" s="73">
        <v>13.2979763219999</v>
      </c>
      <c r="G18" s="73">
        <v>11.3369625349999</v>
      </c>
      <c r="H18" s="73">
        <v>3.57850924899992</v>
      </c>
      <c r="I18" s="73">
        <v>14.7589806979999</v>
      </c>
      <c r="J18" s="73">
        <v>6.14849787000002</v>
      </c>
      <c r="K18" s="73">
        <v>3.22861174599984</v>
      </c>
      <c r="L18" s="73">
        <v>8.11174319199994</v>
      </c>
      <c r="M18" s="73">
        <v>9.03715731800002</v>
      </c>
      <c r="N18" s="73">
        <v>5.80984673700004</v>
      </c>
      <c r="O18" s="73">
        <v>4.39827002900005</v>
      </c>
      <c r="P18" s="73">
        <v>7.62523872899987</v>
      </c>
      <c r="Q18" s="73">
        <v>4.244292137</v>
      </c>
      <c r="R18" s="73">
        <v>6.83284357000002</v>
      </c>
      <c r="S18" s="73">
        <v>6.3370371630001</v>
      </c>
      <c r="T18" s="74">
        <f t="shared" si="1"/>
        <v>8.475598326</v>
      </c>
    </row>
    <row r="19" ht="14.25" customHeight="1">
      <c r="A19" s="8">
        <v>18.0</v>
      </c>
      <c r="B19" s="7">
        <v>45477.0</v>
      </c>
      <c r="C19" s="8" t="s">
        <v>43</v>
      </c>
      <c r="D19" s="8" t="s">
        <v>44</v>
      </c>
      <c r="E19" s="73">
        <v>6.18170759299982</v>
      </c>
      <c r="F19" s="73">
        <v>8.48893499999985</v>
      </c>
      <c r="G19" s="73">
        <v>6.816628734</v>
      </c>
      <c r="H19" s="73">
        <v>10.1450110939999</v>
      </c>
      <c r="I19" s="73">
        <v>4.77844376299981</v>
      </c>
      <c r="J19" s="73">
        <v>4.09933798500014</v>
      </c>
      <c r="K19" s="73">
        <v>4.730457182</v>
      </c>
      <c r="L19" s="73">
        <v>4.02624973799993</v>
      </c>
      <c r="M19" s="73">
        <v>4.66425899599994</v>
      </c>
      <c r="N19" s="73">
        <v>8.75795541000002</v>
      </c>
      <c r="O19" s="73">
        <v>4.77797340700021</v>
      </c>
      <c r="P19" s="73">
        <v>9.83276848899981</v>
      </c>
      <c r="Q19" s="73">
        <v>5.08581794600013</v>
      </c>
      <c r="R19" s="73">
        <v>5.46576546799997</v>
      </c>
      <c r="S19" s="73">
        <v>5.19114626800001</v>
      </c>
      <c r="T19" s="74">
        <f t="shared" si="1"/>
        <v>6.202830472</v>
      </c>
    </row>
    <row r="20" ht="14.25" customHeight="1">
      <c r="A20" s="8">
        <v>19.0</v>
      </c>
      <c r="B20" s="7">
        <v>45476.0</v>
      </c>
      <c r="C20" s="8" t="s">
        <v>45</v>
      </c>
      <c r="D20" s="8" t="s">
        <v>101</v>
      </c>
      <c r="E20" s="73">
        <v>22.1244138001929</v>
      </c>
      <c r="F20" s="73">
        <v>7.54712649993598</v>
      </c>
      <c r="G20" s="73">
        <v>8.40215199999511</v>
      </c>
      <c r="H20" s="73">
        <v>7.36562189995311</v>
      </c>
      <c r="I20" s="73">
        <v>5.50198159995488</v>
      </c>
      <c r="J20" s="73">
        <v>9.15262019983492</v>
      </c>
      <c r="K20" s="73">
        <v>18.7562078000046</v>
      </c>
      <c r="L20" s="73">
        <v>6.89107590005733</v>
      </c>
      <c r="M20" s="73">
        <v>4.42642019991762</v>
      </c>
      <c r="N20" s="73">
        <v>7.16525280009955</v>
      </c>
      <c r="O20" s="73">
        <v>6.1612490999978</v>
      </c>
      <c r="P20" s="73">
        <v>5.00578410015441</v>
      </c>
      <c r="Q20" s="73">
        <v>8.67788950004614</v>
      </c>
      <c r="R20" s="73">
        <v>14.7276835001539</v>
      </c>
      <c r="S20" s="73">
        <v>13.5626920000649</v>
      </c>
      <c r="T20" s="74">
        <f t="shared" si="1"/>
        <v>9.69787806</v>
      </c>
    </row>
    <row r="21" ht="14.25" customHeight="1">
      <c r="A21" s="8">
        <v>20.0</v>
      </c>
      <c r="B21" s="7">
        <v>45484.0</v>
      </c>
      <c r="C21" s="8" t="s">
        <v>47</v>
      </c>
      <c r="D21" s="8" t="s">
        <v>48</v>
      </c>
      <c r="E21" s="73">
        <v>8.74011110002175</v>
      </c>
      <c r="F21" s="73">
        <v>13.3111404000082</v>
      </c>
      <c r="G21" s="73">
        <v>11.6905284000094</v>
      </c>
      <c r="H21" s="73">
        <v>8.51409219999914</v>
      </c>
      <c r="I21" s="73">
        <v>6.20085850000032</v>
      </c>
      <c r="J21" s="73">
        <v>7.73367119999602</v>
      </c>
      <c r="K21" s="73">
        <v>4.30529439999372</v>
      </c>
      <c r="L21" s="73">
        <v>2.64393360001849</v>
      </c>
      <c r="M21" s="73">
        <v>4.42865529999835</v>
      </c>
      <c r="N21" s="73">
        <v>2.78849029997945</v>
      </c>
      <c r="O21" s="73">
        <v>2.22726650000549</v>
      </c>
      <c r="P21" s="73">
        <v>1.56882240000413</v>
      </c>
      <c r="Q21" s="73">
        <v>3.73821559999487</v>
      </c>
      <c r="R21" s="73">
        <v>2.99253850002423</v>
      </c>
      <c r="S21" s="73">
        <v>1.50931340001989</v>
      </c>
      <c r="T21" s="74">
        <f t="shared" si="1"/>
        <v>5.49286212</v>
      </c>
    </row>
    <row r="22" ht="14.25" customHeight="1">
      <c r="A22" s="8">
        <v>21.0</v>
      </c>
      <c r="B22" s="7">
        <v>45485.0</v>
      </c>
      <c r="C22" s="8" t="s">
        <v>49</v>
      </c>
      <c r="D22" s="8" t="s">
        <v>50</v>
      </c>
      <c r="E22" s="73">
        <v>4.54033283301396</v>
      </c>
      <c r="F22" s="73">
        <v>21.055303208006</v>
      </c>
      <c r="G22" s="73">
        <v>13.8477172499988</v>
      </c>
      <c r="H22" s="73">
        <v>9.54800266699749</v>
      </c>
      <c r="I22" s="73">
        <v>2.49804037500871</v>
      </c>
      <c r="J22" s="73">
        <v>5.23124641698086</v>
      </c>
      <c r="K22" s="73">
        <v>5.5543612500187</v>
      </c>
      <c r="L22" s="73">
        <v>8.68793295798241</v>
      </c>
      <c r="M22" s="73">
        <v>8.25097916598315</v>
      </c>
      <c r="N22" s="73">
        <v>3.20572883301065</v>
      </c>
      <c r="O22" s="73">
        <v>8.88209574998472</v>
      </c>
      <c r="P22" s="73">
        <v>2.81706083301105</v>
      </c>
      <c r="Q22" s="73">
        <v>3.03398829200887</v>
      </c>
      <c r="R22" s="73">
        <v>7.52334491600049</v>
      </c>
      <c r="S22" s="73">
        <v>5.27428945800056</v>
      </c>
      <c r="T22" s="74">
        <f t="shared" si="1"/>
        <v>7.33002828</v>
      </c>
    </row>
    <row r="23" ht="14.25" customHeight="1">
      <c r="A23" s="8">
        <v>22.0</v>
      </c>
      <c r="B23" s="7">
        <v>45476.0</v>
      </c>
      <c r="C23" s="8" t="s">
        <v>51</v>
      </c>
      <c r="D23" s="8" t="s">
        <v>52</v>
      </c>
      <c r="E23" s="73">
        <v>15.4022937199999</v>
      </c>
      <c r="F23" s="73">
        <v>15.9144466049999</v>
      </c>
      <c r="G23" s="73">
        <v>6.60300951599992</v>
      </c>
      <c r="H23" s="73">
        <v>7.04564342899993</v>
      </c>
      <c r="I23" s="73">
        <v>9.62949182299985</v>
      </c>
      <c r="J23" s="73">
        <v>6.278632281</v>
      </c>
      <c r="K23" s="73">
        <v>6.11411909200023</v>
      </c>
      <c r="L23" s="73">
        <v>3.79606042600016</v>
      </c>
      <c r="M23" s="73">
        <v>3.82271581299983</v>
      </c>
      <c r="N23" s="73">
        <v>5.96420204200012</v>
      </c>
      <c r="O23" s="73">
        <v>2.66194399699998</v>
      </c>
      <c r="P23" s="73">
        <v>3.33000648699999</v>
      </c>
      <c r="Q23" s="73">
        <v>3.04074014200023</v>
      </c>
      <c r="R23" s="73">
        <v>3.71382296599995</v>
      </c>
      <c r="S23" s="73">
        <v>10.4166911669999</v>
      </c>
      <c r="T23" s="74">
        <f t="shared" si="1"/>
        <v>6.915587967</v>
      </c>
    </row>
    <row r="24" ht="14.25" customHeight="1">
      <c r="A24" s="8">
        <v>23.0</v>
      </c>
      <c r="B24" s="7">
        <v>45476.0</v>
      </c>
      <c r="C24" s="8" t="s">
        <v>53</v>
      </c>
      <c r="D24" s="9" t="s">
        <v>54</v>
      </c>
      <c r="E24" s="73">
        <v>14.2981149000115</v>
      </c>
      <c r="F24" s="73">
        <v>24.7105851999949</v>
      </c>
      <c r="G24" s="73">
        <v>26.8862868000287</v>
      </c>
      <c r="H24" s="73">
        <v>21.483687599888</v>
      </c>
      <c r="I24" s="73">
        <v>10.8713715998455</v>
      </c>
      <c r="J24" s="73">
        <v>15.7203160000499</v>
      </c>
      <c r="K24" s="73">
        <v>14.6890428999904</v>
      </c>
      <c r="L24" s="73">
        <v>12.6233080001547</v>
      </c>
      <c r="M24" s="73">
        <v>19.1257996000349</v>
      </c>
      <c r="N24" s="73">
        <v>12.4049478999804</v>
      </c>
      <c r="O24" s="73">
        <v>9.46546729980036</v>
      </c>
      <c r="P24" s="73">
        <v>10.9642531001009</v>
      </c>
      <c r="Q24" s="73">
        <v>11.5006881000008</v>
      </c>
      <c r="R24" s="73">
        <v>12.3926792999263</v>
      </c>
      <c r="S24" s="73">
        <v>13.9080240998882</v>
      </c>
      <c r="T24" s="74">
        <f t="shared" si="1"/>
        <v>15.40297149</v>
      </c>
    </row>
    <row r="25" ht="14.25" customHeight="1">
      <c r="A25" s="8">
        <v>24.0</v>
      </c>
      <c r="B25" s="7">
        <v>45475.0</v>
      </c>
      <c r="C25" s="8" t="s">
        <v>55</v>
      </c>
      <c r="D25" s="9" t="s">
        <v>56</v>
      </c>
      <c r="E25" s="73">
        <v>1.26091494199999</v>
      </c>
      <c r="F25" s="73">
        <v>15.2061073480001</v>
      </c>
      <c r="G25" s="73">
        <v>19.3986485319999</v>
      </c>
      <c r="H25" s="73">
        <v>5.21890494299987</v>
      </c>
      <c r="I25" s="73">
        <v>6.08073735800007</v>
      </c>
      <c r="J25" s="73">
        <v>8.81508617000008</v>
      </c>
      <c r="K25" s="73">
        <v>2.67615736200014</v>
      </c>
      <c r="L25" s="73">
        <v>1.59453181600019</v>
      </c>
      <c r="M25" s="73">
        <v>5.66832284099973</v>
      </c>
      <c r="N25" s="73">
        <v>3.03065614000024</v>
      </c>
      <c r="O25" s="73">
        <v>5.29525600399983</v>
      </c>
      <c r="P25" s="73">
        <v>5.67943126799991</v>
      </c>
      <c r="Q25" s="73">
        <v>4.2275081570001</v>
      </c>
      <c r="R25" s="73">
        <v>3.33589758299967</v>
      </c>
      <c r="S25" s="73">
        <v>5.32337556600032</v>
      </c>
      <c r="T25" s="74">
        <f t="shared" si="1"/>
        <v>6.187435735</v>
      </c>
    </row>
    <row r="26" ht="14.25" customHeight="1">
      <c r="A26" s="8">
        <v>25.0</v>
      </c>
      <c r="B26" s="7">
        <v>45476.0</v>
      </c>
      <c r="C26" s="8" t="s">
        <v>58</v>
      </c>
      <c r="D26" s="9" t="s">
        <v>59</v>
      </c>
      <c r="E26" s="73">
        <v>17.4005131998565</v>
      </c>
      <c r="F26" s="73">
        <v>40.8938915999606</v>
      </c>
      <c r="G26" s="73">
        <v>5.8494734999258</v>
      </c>
      <c r="H26" s="73">
        <v>1.74903959990479</v>
      </c>
      <c r="I26" s="73">
        <v>7.93391060014255</v>
      </c>
      <c r="J26" s="73">
        <v>4.15006710006855</v>
      </c>
      <c r="K26" s="73">
        <v>1.76083069993183</v>
      </c>
      <c r="L26" s="73">
        <v>2.27723559993319</v>
      </c>
      <c r="M26" s="73">
        <v>2.0945703999605</v>
      </c>
      <c r="N26" s="73">
        <v>1.06121150008402</v>
      </c>
      <c r="O26" s="73">
        <v>3.88232419989071</v>
      </c>
      <c r="P26" s="73">
        <v>11.0079650001134</v>
      </c>
      <c r="Q26" s="73">
        <v>5.91659800009802</v>
      </c>
      <c r="R26" s="73">
        <v>1.27247669990174</v>
      </c>
      <c r="S26" s="73">
        <v>5.89876500004902</v>
      </c>
      <c r="T26" s="74">
        <f t="shared" si="1"/>
        <v>7.54325818</v>
      </c>
    </row>
    <row r="27" ht="14.25" customHeight="1">
      <c r="A27" s="30">
        <v>26.0</v>
      </c>
      <c r="B27" s="27">
        <v>45545.0</v>
      </c>
      <c r="C27" s="28" t="s">
        <v>61</v>
      </c>
      <c r="D27" s="28" t="s">
        <v>62</v>
      </c>
      <c r="E27" s="73">
        <v>11.2509</v>
      </c>
      <c r="F27" s="73">
        <v>29.46352</v>
      </c>
      <c r="G27" s="73">
        <v>15.18879</v>
      </c>
      <c r="H27" s="73">
        <v>16.23147</v>
      </c>
      <c r="I27" s="73">
        <v>13.82298</v>
      </c>
      <c r="J27" s="73">
        <v>3.889631</v>
      </c>
      <c r="K27" s="73">
        <v>29.0076</v>
      </c>
      <c r="L27" s="73">
        <v>5.730242</v>
      </c>
      <c r="M27" s="73">
        <v>8.423088</v>
      </c>
      <c r="N27" s="73">
        <v>5.945557</v>
      </c>
      <c r="O27" s="73">
        <v>2.996364</v>
      </c>
      <c r="P27" s="73">
        <v>8.031067</v>
      </c>
      <c r="Q27" s="73">
        <v>1.606607</v>
      </c>
      <c r="R27" s="73">
        <v>3.639483</v>
      </c>
      <c r="S27" s="73">
        <v>11.5645</v>
      </c>
      <c r="T27" s="73">
        <f t="shared" si="1"/>
        <v>11.11945327</v>
      </c>
    </row>
    <row r="28" ht="14.25" customHeight="1">
      <c r="A28" s="30">
        <v>27.0</v>
      </c>
      <c r="B28" s="27">
        <v>45504.0</v>
      </c>
      <c r="C28" s="28" t="s">
        <v>63</v>
      </c>
      <c r="D28" s="29" t="s">
        <v>64</v>
      </c>
      <c r="E28" s="73">
        <v>5.849942</v>
      </c>
      <c r="F28" s="73">
        <v>5.053719</v>
      </c>
      <c r="G28" s="73">
        <v>6.014958</v>
      </c>
      <c r="H28" s="73">
        <v>7.191321</v>
      </c>
      <c r="I28" s="73">
        <v>3.513894</v>
      </c>
      <c r="J28" s="73">
        <v>3.323918</v>
      </c>
      <c r="K28" s="73">
        <v>2.578792</v>
      </c>
      <c r="L28" s="73">
        <v>4.056403</v>
      </c>
      <c r="M28" s="73">
        <v>4.273039</v>
      </c>
      <c r="N28" s="73">
        <v>2.495803</v>
      </c>
      <c r="O28" s="73">
        <v>3.004999</v>
      </c>
      <c r="P28" s="73">
        <v>4.46575</v>
      </c>
      <c r="Q28" s="73">
        <v>2.614545</v>
      </c>
      <c r="R28" s="73">
        <v>5.2728</v>
      </c>
      <c r="S28" s="73">
        <v>1.164799</v>
      </c>
      <c r="T28" s="73">
        <f t="shared" si="1"/>
        <v>4.058312133</v>
      </c>
    </row>
    <row r="29" ht="14.25" customHeight="1">
      <c r="A29" s="30">
        <v>28.0</v>
      </c>
      <c r="B29" s="27">
        <v>45505.0</v>
      </c>
      <c r="C29" s="28" t="s">
        <v>65</v>
      </c>
      <c r="D29" s="28" t="s">
        <v>66</v>
      </c>
      <c r="E29" s="73">
        <v>5.772204</v>
      </c>
      <c r="F29" s="73">
        <v>5.845019</v>
      </c>
      <c r="G29" s="73">
        <v>5.841413</v>
      </c>
      <c r="H29" s="73">
        <v>7.263022</v>
      </c>
      <c r="I29" s="73">
        <v>20.0239</v>
      </c>
      <c r="J29" s="73">
        <v>4.347355</v>
      </c>
      <c r="K29" s="73">
        <v>3.412918</v>
      </c>
      <c r="L29" s="73">
        <v>4.205663</v>
      </c>
      <c r="M29" s="73">
        <v>4.205703</v>
      </c>
      <c r="N29" s="73">
        <v>6.180109</v>
      </c>
      <c r="O29" s="73">
        <v>2.413915</v>
      </c>
      <c r="P29" s="73">
        <v>5.003051</v>
      </c>
      <c r="Q29" s="73">
        <v>1.838085</v>
      </c>
      <c r="R29" s="73">
        <v>3.873094</v>
      </c>
      <c r="S29" s="73">
        <v>6.631726</v>
      </c>
      <c r="T29" s="73">
        <f t="shared" si="1"/>
        <v>5.790478467</v>
      </c>
    </row>
    <row r="30" ht="14.25" customHeight="1">
      <c r="A30" s="30">
        <v>29.0</v>
      </c>
      <c r="B30" s="27">
        <v>45506.0</v>
      </c>
      <c r="C30" s="28" t="s">
        <v>63</v>
      </c>
      <c r="D30" s="28" t="s">
        <v>68</v>
      </c>
      <c r="E30" s="73">
        <v>5.018917</v>
      </c>
      <c r="F30" s="73">
        <v>15.45479</v>
      </c>
      <c r="G30" s="73">
        <v>43.81034</v>
      </c>
      <c r="H30" s="73">
        <v>35.59833</v>
      </c>
      <c r="I30" s="73">
        <v>33.80611</v>
      </c>
      <c r="J30" s="73">
        <v>7.548167</v>
      </c>
      <c r="K30" s="73">
        <v>16.80549</v>
      </c>
      <c r="L30" s="73">
        <v>22.8891</v>
      </c>
      <c r="M30" s="73">
        <v>6.181083</v>
      </c>
      <c r="N30" s="73">
        <v>15.23066</v>
      </c>
      <c r="O30" s="73">
        <v>5.962561</v>
      </c>
      <c r="P30" s="73">
        <v>1.562424</v>
      </c>
      <c r="Q30" s="73">
        <v>1.648669</v>
      </c>
      <c r="R30" s="73">
        <v>1.421707</v>
      </c>
      <c r="S30" s="73">
        <v>1.798864</v>
      </c>
      <c r="T30" s="73">
        <f t="shared" si="1"/>
        <v>14.31581413</v>
      </c>
    </row>
    <row r="31" ht="14.25" customHeight="1">
      <c r="A31" s="30">
        <v>30.0</v>
      </c>
      <c r="B31" s="27">
        <v>45505.0</v>
      </c>
      <c r="C31" s="28" t="s">
        <v>15</v>
      </c>
      <c r="D31" s="28" t="s">
        <v>69</v>
      </c>
      <c r="E31" s="30">
        <v>8.650932</v>
      </c>
      <c r="F31" s="30">
        <v>29.90013</v>
      </c>
      <c r="G31" s="30">
        <v>19.84772</v>
      </c>
      <c r="H31" s="30">
        <v>12.7894</v>
      </c>
      <c r="I31" s="30">
        <v>20.65089</v>
      </c>
    </row>
    <row r="32" ht="14.25" customHeight="1">
      <c r="A32" s="30">
        <v>31.0</v>
      </c>
      <c r="B32" s="27">
        <v>45511.0</v>
      </c>
      <c r="C32" s="28" t="s">
        <v>70</v>
      </c>
      <c r="D32" s="28" t="s">
        <v>71</v>
      </c>
      <c r="E32" s="30">
        <v>7.329364</v>
      </c>
      <c r="F32" s="30">
        <v>29.8317</v>
      </c>
      <c r="G32" s="30">
        <v>2.672601</v>
      </c>
      <c r="H32" s="30">
        <v>2.122944</v>
      </c>
      <c r="I32" s="30">
        <v>3.032943</v>
      </c>
      <c r="J32" s="30">
        <v>2.520261</v>
      </c>
      <c r="K32" s="30">
        <v>2.263</v>
      </c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2024-07-22T16:21:49Z</dcterms:created>
  <dc:creator>Ana Cláudia Macedo Rodrigues</dc:creator>
</cp:coreProperties>
</file>