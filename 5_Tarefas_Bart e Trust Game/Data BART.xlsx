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T (popped)" sheetId="1" r:id="rId4"/>
    <sheet state="visible" name="BART score" sheetId="2" r:id="rId5"/>
    <sheet state="visible" name="BART finalData" sheetId="3" r:id="rId6"/>
  </sheets>
  <definedNames/>
  <calcPr/>
</workbook>
</file>

<file path=xl/sharedStrings.xml><?xml version="1.0" encoding="utf-8"?>
<sst xmlns="http://schemas.openxmlformats.org/spreadsheetml/2006/main" count="661" uniqueCount="63">
  <si>
    <t>Order</t>
  </si>
  <si>
    <t>Day</t>
  </si>
  <si>
    <t>Time</t>
  </si>
  <si>
    <t>ID</t>
  </si>
  <si>
    <t>Popped</t>
  </si>
  <si>
    <t>17h12</t>
  </si>
  <si>
    <t>AM01071945</t>
  </si>
  <si>
    <t>FALSO</t>
  </si>
  <si>
    <t>VERDADEIRO</t>
  </si>
  <si>
    <t>14h52</t>
  </si>
  <si>
    <t>AP17091950</t>
  </si>
  <si>
    <t>15h34</t>
  </si>
  <si>
    <t>AR10061960</t>
  </si>
  <si>
    <t>16h59</t>
  </si>
  <si>
    <t>EM22071954</t>
  </si>
  <si>
    <t>16h20</t>
  </si>
  <si>
    <t>ES21111948</t>
  </si>
  <si>
    <t>11h57</t>
  </si>
  <si>
    <t>FR24011951</t>
  </si>
  <si>
    <t>16h14</t>
  </si>
  <si>
    <t>JM19101961</t>
  </si>
  <si>
    <t>15h28</t>
  </si>
  <si>
    <t>JS21021941</t>
  </si>
  <si>
    <t>15h51</t>
  </si>
  <si>
    <t>JV11091949</t>
  </si>
  <si>
    <t>15h46</t>
  </si>
  <si>
    <t>MA30061957</t>
  </si>
  <si>
    <t>12h02</t>
  </si>
  <si>
    <t>MG06041942</t>
  </si>
  <si>
    <t>17h23</t>
  </si>
  <si>
    <t>ML15061931</t>
  </si>
  <si>
    <t>15h44</t>
  </si>
  <si>
    <t>MM18091956</t>
  </si>
  <si>
    <t>16h01</t>
  </si>
  <si>
    <t>MM28031953</t>
  </si>
  <si>
    <t>16h18</t>
  </si>
  <si>
    <t>MN10051949</t>
  </si>
  <si>
    <t>16h49</t>
  </si>
  <si>
    <t>MP12071959</t>
  </si>
  <si>
    <t>14h59</t>
  </si>
  <si>
    <t>MR05051963</t>
  </si>
  <si>
    <t>16h34</t>
  </si>
  <si>
    <t>MS26011951</t>
  </si>
  <si>
    <t>11h42</t>
  </si>
  <si>
    <t>OP18061957</t>
  </si>
  <si>
    <t>17h19</t>
  </si>
  <si>
    <t>SN02011956</t>
  </si>
  <si>
    <t>14h27</t>
  </si>
  <si>
    <t>MC02071942</t>
  </si>
  <si>
    <t>15h27</t>
  </si>
  <si>
    <t>MN21031947</t>
  </si>
  <si>
    <t>16h23</t>
  </si>
  <si>
    <t>AC17101947</t>
  </si>
  <si>
    <t>15h39</t>
  </si>
  <si>
    <t>AO25031956</t>
  </si>
  <si>
    <t>15h45</t>
  </si>
  <si>
    <t>EP12081940</t>
  </si>
  <si>
    <t>15h41</t>
  </si>
  <si>
    <t>MF28091947</t>
  </si>
  <si>
    <t>15h23</t>
  </si>
  <si>
    <t>OS11071966</t>
  </si>
  <si>
    <t>FinalScore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</si>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</sst>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1A983"/>
        <bgColor rgb="FFF1A983"/>
      </patternFill>
    </fill>
    <fill>
      <patternFill patternType="solid">
        <fgColor rgb="FFF4CCCC"/>
        <bgColor rgb="FFF4CCCC"/>
      </patternFill>
    </fill>
  </fills>
  <borders count="4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0" fillId="0" fontId="4" numFmtId="164" xfId="0" applyFont="1" applyNumberFormat="1"/>
    <xf borderId="0" fillId="0" fontId="4" numFmtId="0" xfId="0" applyFont="1"/>
    <xf borderId="0" fillId="0" fontId="2" numFmtId="2" xfId="0" applyAlignment="1" applyFont="1" applyNumberFormat="1">
      <alignment horizontal="right" readingOrder="0" shrinkToFit="0" vertical="bottom" wrapText="0"/>
    </xf>
    <xf borderId="0" fillId="4" fontId="4" numFmtId="164" xfId="0" applyFill="1" applyFont="1" applyNumberFormat="1"/>
    <xf borderId="0" fillId="4" fontId="4" numFmtId="0" xfId="0" applyFont="1"/>
    <xf borderId="0" fillId="4" fontId="2" numFmtId="2" xfId="0" applyAlignment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>
        <v>1.0</v>
      </c>
      <c r="F1" s="3">
        <v>2.0</v>
      </c>
      <c r="G1" s="3">
        <v>3.0</v>
      </c>
      <c r="H1" s="3">
        <v>4.0</v>
      </c>
      <c r="I1" s="3">
        <v>5.0</v>
      </c>
      <c r="J1" s="3">
        <v>6.0</v>
      </c>
      <c r="K1" s="3">
        <v>7.0</v>
      </c>
      <c r="L1" s="3">
        <v>8.0</v>
      </c>
      <c r="M1" s="3">
        <v>9.0</v>
      </c>
      <c r="N1" s="3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3">
        <v>16.0</v>
      </c>
      <c r="U1" s="3">
        <v>17.0</v>
      </c>
      <c r="V1" s="3">
        <v>18.0</v>
      </c>
      <c r="W1" s="3">
        <v>19.0</v>
      </c>
      <c r="X1" s="3">
        <v>20.0</v>
      </c>
      <c r="Y1" s="1" t="s">
        <v>4</v>
      </c>
    </row>
    <row r="2">
      <c r="A2" s="4">
        <v>1.0</v>
      </c>
      <c r="B2" s="5">
        <v>45484.0</v>
      </c>
      <c r="C2" s="6" t="s">
        <v>5</v>
      </c>
      <c r="D2" s="7" t="s">
        <v>6</v>
      </c>
      <c r="E2" s="8" t="s">
        <v>7</v>
      </c>
      <c r="F2" s="8" t="s">
        <v>7</v>
      </c>
      <c r="G2" s="8" t="s">
        <v>7</v>
      </c>
      <c r="H2" s="8" t="s">
        <v>7</v>
      </c>
      <c r="I2" s="8" t="s">
        <v>7</v>
      </c>
      <c r="J2" s="9" t="s">
        <v>8</v>
      </c>
      <c r="K2" s="8" t="s">
        <v>7</v>
      </c>
      <c r="L2" s="8" t="s">
        <v>7</v>
      </c>
      <c r="M2" s="8" t="s">
        <v>7</v>
      </c>
      <c r="N2" s="8" t="s">
        <v>7</v>
      </c>
      <c r="O2" s="8" t="s">
        <v>7</v>
      </c>
      <c r="P2" s="9" t="s">
        <v>8</v>
      </c>
      <c r="Q2" s="8" t="s">
        <v>7</v>
      </c>
      <c r="R2" s="8" t="s">
        <v>7</v>
      </c>
      <c r="S2" s="8" t="s">
        <v>7</v>
      </c>
      <c r="T2" s="8" t="s">
        <v>7</v>
      </c>
      <c r="U2" s="8" t="s">
        <v>7</v>
      </c>
      <c r="V2" s="8" t="s">
        <v>7</v>
      </c>
      <c r="W2" s="9" t="s">
        <v>8</v>
      </c>
      <c r="X2" s="8" t="s">
        <v>7</v>
      </c>
      <c r="Y2" s="4">
        <f t="shared" ref="Y2:Y28" si="1">COUNTIF(E2:X2,"VERDADEIRO")</f>
        <v>3</v>
      </c>
    </row>
    <row r="3">
      <c r="A3" s="4">
        <v>2.0</v>
      </c>
      <c r="B3" s="5">
        <v>45490.0</v>
      </c>
      <c r="C3" s="6" t="s">
        <v>9</v>
      </c>
      <c r="D3" s="7" t="s">
        <v>10</v>
      </c>
      <c r="E3" s="8" t="s">
        <v>7</v>
      </c>
      <c r="F3" s="8" t="s">
        <v>7</v>
      </c>
      <c r="G3" s="8" t="s">
        <v>7</v>
      </c>
      <c r="H3" s="8" t="s">
        <v>7</v>
      </c>
      <c r="I3" s="9" t="s">
        <v>8</v>
      </c>
      <c r="J3" s="8" t="s">
        <v>7</v>
      </c>
      <c r="K3" s="8" t="s">
        <v>7</v>
      </c>
      <c r="L3" s="8" t="s">
        <v>7</v>
      </c>
      <c r="M3" s="9" t="s">
        <v>8</v>
      </c>
      <c r="N3" s="8" t="s">
        <v>7</v>
      </c>
      <c r="O3" s="8" t="s">
        <v>7</v>
      </c>
      <c r="P3" s="9" t="s">
        <v>8</v>
      </c>
      <c r="Q3" s="8" t="s">
        <v>7</v>
      </c>
      <c r="R3" s="8" t="s">
        <v>7</v>
      </c>
      <c r="S3" s="8" t="s">
        <v>7</v>
      </c>
      <c r="T3" s="9" t="s">
        <v>8</v>
      </c>
      <c r="U3" s="8" t="s">
        <v>7</v>
      </c>
      <c r="V3" s="8" t="s">
        <v>7</v>
      </c>
      <c r="W3" s="8" t="s">
        <v>7</v>
      </c>
      <c r="X3" s="8" t="s">
        <v>7</v>
      </c>
      <c r="Y3" s="4">
        <f t="shared" si="1"/>
        <v>4</v>
      </c>
    </row>
    <row r="4">
      <c r="A4" s="4">
        <v>3.0</v>
      </c>
      <c r="B4" s="5">
        <v>45477.0</v>
      </c>
      <c r="C4" s="6" t="s">
        <v>11</v>
      </c>
      <c r="D4" s="7" t="s">
        <v>12</v>
      </c>
      <c r="E4" s="8" t="s">
        <v>7</v>
      </c>
      <c r="F4" s="8" t="s">
        <v>7</v>
      </c>
      <c r="G4" s="8" t="s">
        <v>7</v>
      </c>
      <c r="H4" s="8" t="s">
        <v>7</v>
      </c>
      <c r="I4" s="8" t="s">
        <v>7</v>
      </c>
      <c r="J4" s="8" t="s">
        <v>7</v>
      </c>
      <c r="K4" s="9" t="s">
        <v>8</v>
      </c>
      <c r="L4" s="8" t="s">
        <v>7</v>
      </c>
      <c r="M4" s="9" t="s">
        <v>8</v>
      </c>
      <c r="N4" s="8" t="s">
        <v>7</v>
      </c>
      <c r="O4" s="8" t="s">
        <v>7</v>
      </c>
      <c r="P4" s="8" t="s">
        <v>7</v>
      </c>
      <c r="Q4" s="9" t="s">
        <v>8</v>
      </c>
      <c r="R4" s="9" t="s">
        <v>8</v>
      </c>
      <c r="S4" s="8" t="s">
        <v>7</v>
      </c>
      <c r="T4" s="8" t="s">
        <v>7</v>
      </c>
      <c r="U4" s="8" t="s">
        <v>7</v>
      </c>
      <c r="V4" s="8" t="s">
        <v>7</v>
      </c>
      <c r="W4" s="8" t="s">
        <v>7</v>
      </c>
      <c r="X4" s="9" t="s">
        <v>8</v>
      </c>
      <c r="Y4" s="4">
        <f t="shared" si="1"/>
        <v>5</v>
      </c>
    </row>
    <row r="5">
      <c r="A5" s="4">
        <v>4.0</v>
      </c>
      <c r="B5" s="5">
        <v>45482.0</v>
      </c>
      <c r="C5" s="6" t="s">
        <v>13</v>
      </c>
      <c r="D5" s="7" t="s">
        <v>14</v>
      </c>
      <c r="E5" s="9" t="s">
        <v>8</v>
      </c>
      <c r="F5" s="8" t="s">
        <v>7</v>
      </c>
      <c r="G5" s="8" t="s">
        <v>7</v>
      </c>
      <c r="H5" s="8" t="s">
        <v>7</v>
      </c>
      <c r="I5" s="9" t="s">
        <v>8</v>
      </c>
      <c r="J5" s="8" t="s">
        <v>7</v>
      </c>
      <c r="K5" s="8" t="s">
        <v>7</v>
      </c>
      <c r="L5" s="9" t="s">
        <v>8</v>
      </c>
      <c r="M5" s="9" t="s">
        <v>8</v>
      </c>
      <c r="N5" s="8" t="s">
        <v>7</v>
      </c>
      <c r="O5" s="8" t="s">
        <v>7</v>
      </c>
      <c r="P5" s="8" t="s">
        <v>7</v>
      </c>
      <c r="Q5" s="8" t="s">
        <v>7</v>
      </c>
      <c r="R5" s="8" t="s">
        <v>7</v>
      </c>
      <c r="S5" s="8" t="s">
        <v>7</v>
      </c>
      <c r="T5" s="9" t="s">
        <v>8</v>
      </c>
      <c r="U5" s="8" t="s">
        <v>7</v>
      </c>
      <c r="V5" s="8" t="s">
        <v>7</v>
      </c>
      <c r="W5" s="8" t="s">
        <v>7</v>
      </c>
      <c r="X5" s="8" t="s">
        <v>7</v>
      </c>
      <c r="Y5" s="4">
        <f t="shared" si="1"/>
        <v>5</v>
      </c>
    </row>
    <row r="6">
      <c r="A6" s="4">
        <v>5.0</v>
      </c>
      <c r="B6" s="5">
        <v>45477.0</v>
      </c>
      <c r="C6" s="6" t="s">
        <v>15</v>
      </c>
      <c r="D6" s="7" t="s">
        <v>16</v>
      </c>
      <c r="E6" s="8" t="s">
        <v>7</v>
      </c>
      <c r="F6" s="8" t="s">
        <v>7</v>
      </c>
      <c r="G6" s="8" t="s">
        <v>7</v>
      </c>
      <c r="H6" s="8" t="s">
        <v>7</v>
      </c>
      <c r="I6" s="8" t="s">
        <v>7</v>
      </c>
      <c r="J6" s="8" t="s">
        <v>7</v>
      </c>
      <c r="K6" s="8" t="s">
        <v>7</v>
      </c>
      <c r="L6" s="8" t="s">
        <v>7</v>
      </c>
      <c r="M6" s="8" t="s">
        <v>7</v>
      </c>
      <c r="N6" s="8" t="s">
        <v>7</v>
      </c>
      <c r="O6" s="8" t="s">
        <v>7</v>
      </c>
      <c r="P6" s="8" t="s">
        <v>7</v>
      </c>
      <c r="Q6" s="8" t="s">
        <v>7</v>
      </c>
      <c r="R6" s="8" t="s">
        <v>7</v>
      </c>
      <c r="S6" s="8" t="s">
        <v>7</v>
      </c>
      <c r="T6" s="8" t="s">
        <v>7</v>
      </c>
      <c r="U6" s="8" t="s">
        <v>7</v>
      </c>
      <c r="V6" s="8" t="s">
        <v>7</v>
      </c>
      <c r="W6" s="8" t="s">
        <v>7</v>
      </c>
      <c r="X6" s="8" t="s">
        <v>7</v>
      </c>
      <c r="Y6" s="4">
        <f t="shared" si="1"/>
        <v>0</v>
      </c>
    </row>
    <row r="7">
      <c r="A7" s="4">
        <v>6.0</v>
      </c>
      <c r="B7" s="5">
        <v>45484.0</v>
      </c>
      <c r="C7" s="6" t="s">
        <v>17</v>
      </c>
      <c r="D7" s="10" t="s">
        <v>18</v>
      </c>
      <c r="E7" s="8" t="s">
        <v>7</v>
      </c>
      <c r="F7" s="8" t="s">
        <v>7</v>
      </c>
      <c r="G7" s="8" t="s">
        <v>7</v>
      </c>
      <c r="H7" s="8" t="s">
        <v>7</v>
      </c>
      <c r="I7" s="8" t="s">
        <v>7</v>
      </c>
      <c r="J7" s="8" t="s">
        <v>7</v>
      </c>
      <c r="K7" s="8" t="s">
        <v>7</v>
      </c>
      <c r="L7" s="8" t="s">
        <v>7</v>
      </c>
      <c r="M7" s="9" t="s">
        <v>8</v>
      </c>
      <c r="N7" s="8" t="s">
        <v>7</v>
      </c>
      <c r="O7" s="8" t="s">
        <v>7</v>
      </c>
      <c r="P7" s="9" t="s">
        <v>8</v>
      </c>
      <c r="Q7" s="8" t="s">
        <v>7</v>
      </c>
      <c r="R7" s="8" t="s">
        <v>7</v>
      </c>
      <c r="S7" s="9" t="s">
        <v>8</v>
      </c>
      <c r="T7" s="9" t="s">
        <v>8</v>
      </c>
      <c r="U7" s="8" t="s">
        <v>7</v>
      </c>
      <c r="V7" s="8" t="s">
        <v>7</v>
      </c>
      <c r="W7" s="8" t="s">
        <v>7</v>
      </c>
      <c r="X7" s="9" t="s">
        <v>8</v>
      </c>
      <c r="Y7" s="4">
        <f t="shared" si="1"/>
        <v>5</v>
      </c>
    </row>
    <row r="8">
      <c r="A8" s="4">
        <v>7.0</v>
      </c>
      <c r="B8" s="5">
        <v>45477.0</v>
      </c>
      <c r="C8" s="6" t="s">
        <v>19</v>
      </c>
      <c r="D8" s="7" t="s">
        <v>20</v>
      </c>
      <c r="E8" s="8" t="s">
        <v>7</v>
      </c>
      <c r="F8" s="9" t="s">
        <v>8</v>
      </c>
      <c r="G8" s="8" t="s">
        <v>7</v>
      </c>
      <c r="H8" s="8" t="s">
        <v>7</v>
      </c>
      <c r="I8" s="8" t="s">
        <v>7</v>
      </c>
      <c r="J8" s="8" t="s">
        <v>7</v>
      </c>
      <c r="K8" s="8" t="s">
        <v>7</v>
      </c>
      <c r="L8" s="8" t="s">
        <v>7</v>
      </c>
      <c r="M8" s="9" t="s">
        <v>8</v>
      </c>
      <c r="N8" s="9" t="s">
        <v>8</v>
      </c>
      <c r="O8" s="8" t="s">
        <v>7</v>
      </c>
      <c r="P8" s="8" t="s">
        <v>7</v>
      </c>
      <c r="Q8" s="8" t="s">
        <v>7</v>
      </c>
      <c r="R8" s="8" t="s">
        <v>7</v>
      </c>
      <c r="S8" s="8" t="s">
        <v>7</v>
      </c>
      <c r="T8" s="8" t="s">
        <v>7</v>
      </c>
      <c r="U8" s="8" t="s">
        <v>7</v>
      </c>
      <c r="V8" s="8" t="s">
        <v>7</v>
      </c>
      <c r="W8" s="8" t="s">
        <v>7</v>
      </c>
      <c r="X8" s="8" t="s">
        <v>7</v>
      </c>
      <c r="Y8" s="4">
        <f t="shared" si="1"/>
        <v>3</v>
      </c>
    </row>
    <row r="9">
      <c r="A9" s="4">
        <v>8.0</v>
      </c>
      <c r="B9" s="5">
        <v>45475.0</v>
      </c>
      <c r="C9" s="6" t="s">
        <v>21</v>
      </c>
      <c r="D9" s="7" t="s">
        <v>22</v>
      </c>
      <c r="E9" s="8" t="s">
        <v>7</v>
      </c>
      <c r="F9" s="8" t="s">
        <v>7</v>
      </c>
      <c r="G9" s="8" t="s">
        <v>7</v>
      </c>
      <c r="H9" s="8" t="s">
        <v>7</v>
      </c>
      <c r="I9" s="8" t="s">
        <v>7</v>
      </c>
      <c r="J9" s="8" t="s">
        <v>7</v>
      </c>
      <c r="K9" s="8" t="s">
        <v>7</v>
      </c>
      <c r="L9" s="8" t="s">
        <v>7</v>
      </c>
      <c r="M9" s="8" t="s">
        <v>7</v>
      </c>
      <c r="N9" s="8" t="s">
        <v>7</v>
      </c>
      <c r="O9" s="9" t="s">
        <v>8</v>
      </c>
      <c r="P9" s="8" t="s">
        <v>7</v>
      </c>
      <c r="Q9" s="8" t="s">
        <v>7</v>
      </c>
      <c r="R9" s="8" t="s">
        <v>7</v>
      </c>
      <c r="S9" s="8" t="s">
        <v>7</v>
      </c>
      <c r="T9" s="8" t="s">
        <v>7</v>
      </c>
      <c r="U9" s="8" t="s">
        <v>7</v>
      </c>
      <c r="V9" s="8" t="s">
        <v>7</v>
      </c>
      <c r="W9" s="8" t="s">
        <v>7</v>
      </c>
      <c r="X9" s="8" t="s">
        <v>7</v>
      </c>
      <c r="Y9" s="4">
        <f t="shared" si="1"/>
        <v>1</v>
      </c>
    </row>
    <row r="10">
      <c r="A10" s="4">
        <v>9.0</v>
      </c>
      <c r="B10" s="5">
        <v>45490.0</v>
      </c>
      <c r="C10" s="6" t="s">
        <v>23</v>
      </c>
      <c r="D10" s="7" t="s">
        <v>24</v>
      </c>
      <c r="E10" s="8" t="s">
        <v>7</v>
      </c>
      <c r="F10" s="8" t="s">
        <v>7</v>
      </c>
      <c r="G10" s="8" t="s">
        <v>7</v>
      </c>
      <c r="H10" s="9" t="s">
        <v>8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9" t="s">
        <v>8</v>
      </c>
      <c r="P10" s="8" t="s">
        <v>7</v>
      </c>
      <c r="Q10" s="9" t="s">
        <v>8</v>
      </c>
      <c r="R10" s="9" t="s">
        <v>8</v>
      </c>
      <c r="S10" s="8" t="s">
        <v>7</v>
      </c>
      <c r="T10" s="8" t="s">
        <v>7</v>
      </c>
      <c r="U10" s="8" t="s">
        <v>7</v>
      </c>
      <c r="V10" s="8" t="s">
        <v>7</v>
      </c>
      <c r="W10" s="9" t="s">
        <v>8</v>
      </c>
      <c r="X10" s="8" t="s">
        <v>7</v>
      </c>
      <c r="Y10" s="4">
        <f t="shared" si="1"/>
        <v>5</v>
      </c>
    </row>
    <row r="11">
      <c r="A11" s="4">
        <v>10.0</v>
      </c>
      <c r="B11" s="5">
        <v>45482.0</v>
      </c>
      <c r="C11" s="6" t="s">
        <v>25</v>
      </c>
      <c r="D11" s="7" t="s">
        <v>26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8" t="s">
        <v>7</v>
      </c>
      <c r="L11" s="8" t="s">
        <v>7</v>
      </c>
      <c r="M11" s="9" t="s">
        <v>8</v>
      </c>
      <c r="N11" s="8" t="s">
        <v>7</v>
      </c>
      <c r="O11" s="8" t="s">
        <v>7</v>
      </c>
      <c r="P11" s="9" t="s">
        <v>8</v>
      </c>
      <c r="Q11" s="9" t="s">
        <v>8</v>
      </c>
      <c r="R11" s="8" t="s">
        <v>7</v>
      </c>
      <c r="S11" s="8" t="s">
        <v>7</v>
      </c>
      <c r="T11" s="8" t="s">
        <v>7</v>
      </c>
      <c r="U11" s="8" t="s">
        <v>7</v>
      </c>
      <c r="V11" s="9" t="s">
        <v>8</v>
      </c>
      <c r="W11" s="8" t="s">
        <v>7</v>
      </c>
      <c r="X11" s="8" t="s">
        <v>7</v>
      </c>
      <c r="Y11" s="4">
        <f t="shared" si="1"/>
        <v>4</v>
      </c>
    </row>
    <row r="12">
      <c r="A12" s="4">
        <v>11.0</v>
      </c>
      <c r="B12" s="5">
        <v>45482.0</v>
      </c>
      <c r="C12" s="6" t="s">
        <v>27</v>
      </c>
      <c r="D12" s="7" t="s">
        <v>28</v>
      </c>
      <c r="E12" s="8" t="s">
        <v>7</v>
      </c>
      <c r="F12" s="8" t="s">
        <v>7</v>
      </c>
      <c r="G12" s="8" t="s">
        <v>7</v>
      </c>
      <c r="H12" s="8" t="s">
        <v>7</v>
      </c>
      <c r="I12" s="9" t="s">
        <v>8</v>
      </c>
      <c r="J12" s="9" t="s">
        <v>8</v>
      </c>
      <c r="K12" s="8" t="s">
        <v>7</v>
      </c>
      <c r="L12" s="8" t="s">
        <v>7</v>
      </c>
      <c r="M12" s="8" t="s">
        <v>7</v>
      </c>
      <c r="N12" s="8" t="s">
        <v>7</v>
      </c>
      <c r="O12" s="8" t="s">
        <v>7</v>
      </c>
      <c r="P12" s="8" t="s">
        <v>7</v>
      </c>
      <c r="Q12" s="8" t="s">
        <v>7</v>
      </c>
      <c r="R12" s="8" t="s">
        <v>7</v>
      </c>
      <c r="S12" s="9" t="s">
        <v>8</v>
      </c>
      <c r="T12" s="9" t="s">
        <v>8</v>
      </c>
      <c r="U12" s="8" t="s">
        <v>7</v>
      </c>
      <c r="V12" s="8" t="s">
        <v>7</v>
      </c>
      <c r="W12" s="8" t="s">
        <v>7</v>
      </c>
      <c r="X12" s="9" t="s">
        <v>8</v>
      </c>
      <c r="Y12" s="4">
        <f t="shared" si="1"/>
        <v>5</v>
      </c>
    </row>
    <row r="13">
      <c r="A13" s="4">
        <v>12.0</v>
      </c>
      <c r="B13" s="5">
        <v>45484.0</v>
      </c>
      <c r="C13" s="6" t="s">
        <v>29</v>
      </c>
      <c r="D13" s="7" t="s">
        <v>30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9" t="s">
        <v>8</v>
      </c>
      <c r="K13" s="9" t="s">
        <v>8</v>
      </c>
      <c r="L13" s="8" t="s">
        <v>7</v>
      </c>
      <c r="M13" s="8" t="s">
        <v>7</v>
      </c>
      <c r="N13" s="8" t="s">
        <v>7</v>
      </c>
      <c r="O13" s="8" t="s">
        <v>7</v>
      </c>
      <c r="P13" s="8" t="s">
        <v>7</v>
      </c>
      <c r="Q13" s="8" t="s">
        <v>7</v>
      </c>
      <c r="R13" s="8" t="s">
        <v>7</v>
      </c>
      <c r="S13" s="8" t="s">
        <v>7</v>
      </c>
      <c r="T13" s="8" t="s">
        <v>7</v>
      </c>
      <c r="U13" s="8" t="s">
        <v>7</v>
      </c>
      <c r="V13" s="8" t="s">
        <v>7</v>
      </c>
      <c r="W13" s="8" t="s">
        <v>7</v>
      </c>
      <c r="X13" s="8" t="s">
        <v>7</v>
      </c>
      <c r="Y13" s="4">
        <f t="shared" si="1"/>
        <v>2</v>
      </c>
    </row>
    <row r="14">
      <c r="A14" s="4">
        <v>13.0</v>
      </c>
      <c r="B14" s="5">
        <v>45477.0</v>
      </c>
      <c r="C14" s="6" t="s">
        <v>31</v>
      </c>
      <c r="D14" s="7" t="s">
        <v>32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9" t="s">
        <v>8</v>
      </c>
      <c r="L14" s="9" t="s">
        <v>8</v>
      </c>
      <c r="M14" s="8" t="s">
        <v>7</v>
      </c>
      <c r="N14" s="8" t="s">
        <v>7</v>
      </c>
      <c r="O14" s="8" t="s">
        <v>7</v>
      </c>
      <c r="P14" s="9" t="s">
        <v>8</v>
      </c>
      <c r="Q14" s="8" t="s">
        <v>7</v>
      </c>
      <c r="R14" s="8" t="s">
        <v>7</v>
      </c>
      <c r="S14" s="8" t="s">
        <v>7</v>
      </c>
      <c r="T14" s="8" t="s">
        <v>7</v>
      </c>
      <c r="U14" s="9" t="s">
        <v>8</v>
      </c>
      <c r="V14" s="8" t="s">
        <v>7</v>
      </c>
      <c r="W14" s="8" t="s">
        <v>7</v>
      </c>
      <c r="X14" s="8" t="s">
        <v>7</v>
      </c>
      <c r="Y14" s="4">
        <f t="shared" si="1"/>
        <v>4</v>
      </c>
    </row>
    <row r="15">
      <c r="A15" s="4">
        <v>14.0</v>
      </c>
      <c r="B15" s="5">
        <v>45490.0</v>
      </c>
      <c r="C15" s="6" t="s">
        <v>33</v>
      </c>
      <c r="D15" s="7" t="s">
        <v>34</v>
      </c>
      <c r="E15" s="8" t="s">
        <v>7</v>
      </c>
      <c r="F15" s="8" t="s">
        <v>7</v>
      </c>
      <c r="G15" s="9" t="s">
        <v>8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  <c r="N15" s="8" t="s">
        <v>7</v>
      </c>
      <c r="O15" s="9" t="s">
        <v>8</v>
      </c>
      <c r="P15" s="9" t="s">
        <v>8</v>
      </c>
      <c r="Q15" s="8" t="s">
        <v>7</v>
      </c>
      <c r="R15" s="8" t="s">
        <v>7</v>
      </c>
      <c r="S15" s="9" t="s">
        <v>8</v>
      </c>
      <c r="T15" s="8" t="s">
        <v>7</v>
      </c>
      <c r="U15" s="9" t="s">
        <v>8</v>
      </c>
      <c r="V15" s="8" t="s">
        <v>7</v>
      </c>
      <c r="W15" s="8" t="s">
        <v>7</v>
      </c>
      <c r="X15" s="8" t="s">
        <v>7</v>
      </c>
      <c r="Y15" s="4">
        <f t="shared" si="1"/>
        <v>5</v>
      </c>
    </row>
    <row r="16">
      <c r="A16" s="4">
        <v>15.0</v>
      </c>
      <c r="B16" s="5">
        <v>45476.0</v>
      </c>
      <c r="C16" s="6" t="s">
        <v>35</v>
      </c>
      <c r="D16" s="7" t="s">
        <v>36</v>
      </c>
      <c r="E16" s="8" t="s">
        <v>7</v>
      </c>
      <c r="F16" s="9" t="s">
        <v>8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  <c r="R16" s="8" t="s">
        <v>7</v>
      </c>
      <c r="S16" s="8" t="s">
        <v>7</v>
      </c>
      <c r="T16" s="8" t="s">
        <v>7</v>
      </c>
      <c r="U16" s="8" t="s">
        <v>7</v>
      </c>
      <c r="V16" s="8" t="s">
        <v>7</v>
      </c>
      <c r="W16" s="8" t="s">
        <v>7</v>
      </c>
      <c r="X16" s="8" t="s">
        <v>7</v>
      </c>
      <c r="Y16" s="4">
        <f t="shared" si="1"/>
        <v>1</v>
      </c>
    </row>
    <row r="17">
      <c r="A17" s="4">
        <v>16.0</v>
      </c>
      <c r="B17" s="5">
        <v>45476.0</v>
      </c>
      <c r="C17" s="6" t="s">
        <v>37</v>
      </c>
      <c r="D17" s="7" t="s">
        <v>38</v>
      </c>
      <c r="E17" s="8" t="s">
        <v>7</v>
      </c>
      <c r="F17" s="9" t="s">
        <v>8</v>
      </c>
      <c r="G17" s="8" t="s">
        <v>7</v>
      </c>
      <c r="H17" s="9" t="s">
        <v>8</v>
      </c>
      <c r="I17" s="9" t="s">
        <v>8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9" t="s">
        <v>8</v>
      </c>
      <c r="P17" s="8" t="s">
        <v>7</v>
      </c>
      <c r="Q17" s="8" t="s">
        <v>7</v>
      </c>
      <c r="R17" s="8" t="s">
        <v>7</v>
      </c>
      <c r="S17" s="9" t="s">
        <v>8</v>
      </c>
      <c r="T17" s="8" t="s">
        <v>7</v>
      </c>
      <c r="U17" s="9" t="s">
        <v>8</v>
      </c>
      <c r="V17" s="9" t="s">
        <v>8</v>
      </c>
      <c r="W17" s="8" t="s">
        <v>7</v>
      </c>
      <c r="X17" s="8" t="s">
        <v>7</v>
      </c>
      <c r="Y17" s="4">
        <f t="shared" si="1"/>
        <v>7</v>
      </c>
    </row>
    <row r="18">
      <c r="A18" s="4">
        <v>17.0</v>
      </c>
      <c r="B18" s="5">
        <v>45477.0</v>
      </c>
      <c r="C18" s="6" t="s">
        <v>39</v>
      </c>
      <c r="D18" s="7" t="s">
        <v>40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9" t="s">
        <v>8</v>
      </c>
      <c r="L18" s="8" t="s">
        <v>7</v>
      </c>
      <c r="M18" s="9" t="s">
        <v>8</v>
      </c>
      <c r="N18" s="8" t="s">
        <v>7</v>
      </c>
      <c r="O18" s="8" t="s">
        <v>7</v>
      </c>
      <c r="P18" s="8" t="s">
        <v>7</v>
      </c>
      <c r="Q18" s="8" t="s">
        <v>7</v>
      </c>
      <c r="R18" s="9" t="s">
        <v>8</v>
      </c>
      <c r="S18" s="8" t="s">
        <v>7</v>
      </c>
      <c r="T18" s="8" t="s">
        <v>7</v>
      </c>
      <c r="U18" s="8" t="s">
        <v>7</v>
      </c>
      <c r="V18" s="8" t="s">
        <v>7</v>
      </c>
      <c r="W18" s="8" t="s">
        <v>7</v>
      </c>
      <c r="X18" s="8" t="s">
        <v>7</v>
      </c>
      <c r="Y18" s="4">
        <f t="shared" si="1"/>
        <v>3</v>
      </c>
    </row>
    <row r="19">
      <c r="A19" s="4">
        <v>18.0</v>
      </c>
      <c r="B19" s="5">
        <v>45484.0</v>
      </c>
      <c r="C19" s="6" t="s">
        <v>41</v>
      </c>
      <c r="D19" s="7" t="s">
        <v>42</v>
      </c>
      <c r="E19" s="8" t="s">
        <v>7</v>
      </c>
      <c r="F19" s="8" t="s">
        <v>7</v>
      </c>
      <c r="G19" s="8" t="s">
        <v>7</v>
      </c>
      <c r="H19" s="9" t="s">
        <v>8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9" t="s">
        <v>8</v>
      </c>
      <c r="R19" s="8" t="s">
        <v>7</v>
      </c>
      <c r="S19" s="9" t="s">
        <v>8</v>
      </c>
      <c r="T19" s="8" t="s">
        <v>7</v>
      </c>
      <c r="U19" s="8" t="s">
        <v>7</v>
      </c>
      <c r="V19" s="8" t="s">
        <v>7</v>
      </c>
      <c r="W19" s="9" t="s">
        <v>8</v>
      </c>
      <c r="X19" s="8" t="s">
        <v>7</v>
      </c>
      <c r="Y19" s="4">
        <f t="shared" si="1"/>
        <v>4</v>
      </c>
    </row>
    <row r="20">
      <c r="A20" s="4">
        <v>19.0</v>
      </c>
      <c r="B20" s="5">
        <v>45485.0</v>
      </c>
      <c r="C20" s="6" t="s">
        <v>43</v>
      </c>
      <c r="D20" s="7" t="s">
        <v>44</v>
      </c>
      <c r="E20" s="9" t="s">
        <v>8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9" t="s">
        <v>8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  <c r="W20" s="9" t="s">
        <v>8</v>
      </c>
      <c r="X20" s="8" t="s">
        <v>7</v>
      </c>
      <c r="Y20" s="4">
        <f t="shared" si="1"/>
        <v>3</v>
      </c>
    </row>
    <row r="21">
      <c r="A21" s="4">
        <v>20.0</v>
      </c>
      <c r="B21" s="5">
        <v>45476.0</v>
      </c>
      <c r="C21" s="6" t="s">
        <v>45</v>
      </c>
      <c r="D21" s="7" t="s">
        <v>46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  <c r="U21" s="8" t="s">
        <v>7</v>
      </c>
      <c r="V21" s="8" t="s">
        <v>7</v>
      </c>
      <c r="W21" s="8" t="s">
        <v>7</v>
      </c>
      <c r="X21" s="8" t="s">
        <v>7</v>
      </c>
      <c r="Y21" s="4">
        <f t="shared" si="1"/>
        <v>0</v>
      </c>
    </row>
    <row r="22">
      <c r="A22" s="4">
        <v>21.0</v>
      </c>
      <c r="B22" s="5">
        <v>45475.0</v>
      </c>
      <c r="C22" s="6" t="s">
        <v>47</v>
      </c>
      <c r="D22" s="7" t="s">
        <v>48</v>
      </c>
      <c r="E22" s="8" t="s">
        <v>7</v>
      </c>
      <c r="F22" s="9" t="s">
        <v>8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  <c r="U22" s="8" t="s">
        <v>7</v>
      </c>
      <c r="V22" s="8" t="s">
        <v>7</v>
      </c>
      <c r="W22" s="8" t="s">
        <v>7</v>
      </c>
      <c r="X22" s="8" t="s">
        <v>7</v>
      </c>
      <c r="Y22" s="4">
        <f t="shared" si="1"/>
        <v>1</v>
      </c>
    </row>
    <row r="23">
      <c r="A23" s="4">
        <v>22.0</v>
      </c>
      <c r="B23" s="5">
        <v>45476.0</v>
      </c>
      <c r="C23" s="6" t="s">
        <v>49</v>
      </c>
      <c r="D23" s="7" t="s">
        <v>50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  <c r="S23" s="8" t="s">
        <v>7</v>
      </c>
      <c r="T23" s="9" t="s">
        <v>8</v>
      </c>
      <c r="U23" s="9" t="s">
        <v>8</v>
      </c>
      <c r="V23" s="8" t="s">
        <v>7</v>
      </c>
      <c r="W23" s="8" t="s">
        <v>7</v>
      </c>
      <c r="X23" s="8" t="s">
        <v>7</v>
      </c>
      <c r="Y23" s="4">
        <f t="shared" si="1"/>
        <v>2</v>
      </c>
    </row>
    <row r="24">
      <c r="A24" s="4">
        <v>23.0</v>
      </c>
      <c r="B24" s="5">
        <v>45545.0</v>
      </c>
      <c r="C24" s="6" t="s">
        <v>51</v>
      </c>
      <c r="D24" s="7" t="s">
        <v>52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  <c r="S24" s="8" t="s">
        <v>7</v>
      </c>
      <c r="T24" s="8" t="s">
        <v>7</v>
      </c>
      <c r="U24" s="8" t="s">
        <v>7</v>
      </c>
      <c r="V24" s="8" t="s">
        <v>7</v>
      </c>
      <c r="W24" s="9" t="s">
        <v>8</v>
      </c>
      <c r="X24" s="8" t="s">
        <v>7</v>
      </c>
      <c r="Y24" s="4">
        <f t="shared" si="1"/>
        <v>1</v>
      </c>
    </row>
    <row r="25">
      <c r="A25" s="4">
        <v>24.0</v>
      </c>
      <c r="B25" s="5">
        <v>45504.0</v>
      </c>
      <c r="C25" s="6" t="s">
        <v>53</v>
      </c>
      <c r="D25" s="7" t="s">
        <v>54</v>
      </c>
      <c r="E25" s="8" t="s">
        <v>7</v>
      </c>
      <c r="F25" s="8" t="s">
        <v>7</v>
      </c>
      <c r="G25" s="8" t="s">
        <v>7</v>
      </c>
      <c r="H25" s="8" t="s">
        <v>8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  <c r="Q25" s="8" t="s">
        <v>7</v>
      </c>
      <c r="R25" s="8" t="s">
        <v>7</v>
      </c>
      <c r="S25" s="8" t="s">
        <v>7</v>
      </c>
      <c r="T25" s="8" t="s">
        <v>7</v>
      </c>
      <c r="U25" s="8" t="s">
        <v>7</v>
      </c>
      <c r="V25" s="8" t="s">
        <v>7</v>
      </c>
      <c r="W25" s="8" t="s">
        <v>7</v>
      </c>
      <c r="X25" s="8" t="s">
        <v>7</v>
      </c>
      <c r="Y25" s="4">
        <f t="shared" si="1"/>
        <v>1</v>
      </c>
    </row>
    <row r="26">
      <c r="A26" s="4">
        <v>25.0</v>
      </c>
      <c r="B26" s="5">
        <v>45505.0</v>
      </c>
      <c r="C26" s="6" t="s">
        <v>55</v>
      </c>
      <c r="D26" s="7" t="s">
        <v>56</v>
      </c>
      <c r="E26" s="8" t="s">
        <v>7</v>
      </c>
      <c r="F26" s="8" t="s">
        <v>8</v>
      </c>
      <c r="G26" s="8" t="s">
        <v>8</v>
      </c>
      <c r="H26" s="8" t="s">
        <v>7</v>
      </c>
      <c r="I26" s="8" t="s">
        <v>7</v>
      </c>
      <c r="J26" s="8" t="s">
        <v>7</v>
      </c>
      <c r="K26" s="8" t="s">
        <v>8</v>
      </c>
      <c r="L26" s="8" t="s">
        <v>7</v>
      </c>
      <c r="M26" s="8" t="s">
        <v>7</v>
      </c>
      <c r="N26" s="8" t="s">
        <v>7</v>
      </c>
      <c r="O26" s="8" t="s">
        <v>8</v>
      </c>
      <c r="P26" s="8" t="s">
        <v>7</v>
      </c>
      <c r="Q26" s="8" t="s">
        <v>8</v>
      </c>
      <c r="R26" s="8" t="s">
        <v>7</v>
      </c>
      <c r="S26" s="8" t="s">
        <v>7</v>
      </c>
      <c r="T26" s="8" t="s">
        <v>7</v>
      </c>
      <c r="U26" s="8" t="s">
        <v>7</v>
      </c>
      <c r="V26" s="8" t="s">
        <v>7</v>
      </c>
      <c r="W26" s="8" t="s">
        <v>7</v>
      </c>
      <c r="X26" s="8" t="s">
        <v>7</v>
      </c>
      <c r="Y26" s="4">
        <f t="shared" si="1"/>
        <v>5</v>
      </c>
    </row>
    <row r="27">
      <c r="A27" s="4">
        <v>26.0</v>
      </c>
      <c r="B27" s="5">
        <v>45506.0</v>
      </c>
      <c r="C27" s="6" t="s">
        <v>57</v>
      </c>
      <c r="D27" s="7" t="s">
        <v>58</v>
      </c>
      <c r="E27" s="8" t="s">
        <v>8</v>
      </c>
      <c r="F27" s="8" t="s">
        <v>7</v>
      </c>
      <c r="G27" s="8" t="s">
        <v>7</v>
      </c>
      <c r="H27" s="8" t="s">
        <v>7</v>
      </c>
      <c r="I27" s="8" t="s">
        <v>8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8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  <c r="T27" s="8" t="s">
        <v>7</v>
      </c>
      <c r="U27" s="8" t="s">
        <v>7</v>
      </c>
      <c r="V27" s="8" t="s">
        <v>7</v>
      </c>
      <c r="W27" s="8" t="s">
        <v>8</v>
      </c>
      <c r="X27" s="8" t="s">
        <v>7</v>
      </c>
      <c r="Y27" s="4">
        <f t="shared" si="1"/>
        <v>4</v>
      </c>
    </row>
    <row r="28">
      <c r="A28" s="4">
        <v>27.0</v>
      </c>
      <c r="B28" s="5">
        <v>45511.0</v>
      </c>
      <c r="C28" s="6" t="s">
        <v>59</v>
      </c>
      <c r="D28" s="7" t="s">
        <v>60</v>
      </c>
      <c r="E28" s="8" t="s">
        <v>8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8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  <c r="T28" s="8" t="s">
        <v>7</v>
      </c>
      <c r="U28" s="8" t="s">
        <v>7</v>
      </c>
      <c r="V28" s="8" t="s">
        <v>8</v>
      </c>
      <c r="W28" s="8" t="s">
        <v>7</v>
      </c>
      <c r="X28" s="8" t="s">
        <v>8</v>
      </c>
      <c r="Y28" s="4">
        <f t="shared" si="1"/>
        <v>4</v>
      </c>
    </row>
    <row r="29">
      <c r="A29" s="4">
        <v>28.0</v>
      </c>
      <c r="B29" s="11"/>
      <c r="C29" s="11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4"/>
    </row>
    <row r="30">
      <c r="A30" s="4">
        <v>29.0</v>
      </c>
      <c r="Y30" s="4"/>
    </row>
    <row r="31">
      <c r="Y31" s="4"/>
    </row>
    <row r="32">
      <c r="Y32" s="4"/>
    </row>
    <row r="33">
      <c r="Y33" s="4"/>
    </row>
    <row r="34">
      <c r="Y34" s="4"/>
    </row>
    <row r="35">
      <c r="Y35" s="4"/>
    </row>
    <row r="36">
      <c r="Y36" s="4"/>
    </row>
    <row r="37">
      <c r="Y37" s="4"/>
    </row>
  </sheetData>
  <conditionalFormatting sqref="E2:Z37">
    <cfRule type="containsText" dxfId="0" priority="1" operator="containsText" text="VERDADEIRO">
      <formula>NOT(ISERROR(SEARCH(("VERDADEIRO"),(E2))))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2" t="s">
        <v>3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  <c r="T1" s="3">
        <v>17.0</v>
      </c>
      <c r="U1" s="3">
        <v>18.0</v>
      </c>
      <c r="V1" s="3">
        <v>19.0</v>
      </c>
      <c r="W1" s="3">
        <v>20.0</v>
      </c>
      <c r="X1" s="1" t="s">
        <v>61</v>
      </c>
    </row>
    <row r="2">
      <c r="A2" s="13">
        <v>45484.0</v>
      </c>
      <c r="B2" s="14" t="s">
        <v>5</v>
      </c>
      <c r="C2" s="14" t="s">
        <v>6</v>
      </c>
      <c r="D2" s="14">
        <v>8.0</v>
      </c>
      <c r="E2" s="14">
        <v>10.0</v>
      </c>
      <c r="F2" s="14">
        <v>14.0</v>
      </c>
      <c r="G2" s="14">
        <v>14.0</v>
      </c>
      <c r="H2" s="14">
        <v>20.0</v>
      </c>
      <c r="I2" s="14">
        <v>25.0</v>
      </c>
      <c r="J2" s="14">
        <v>10.0</v>
      </c>
      <c r="K2" s="14">
        <v>20.0</v>
      </c>
      <c r="L2" s="14">
        <v>14.0</v>
      </c>
      <c r="M2" s="14">
        <v>16.0</v>
      </c>
      <c r="N2" s="14">
        <v>16.0</v>
      </c>
      <c r="O2" s="14">
        <v>9.0</v>
      </c>
      <c r="P2" s="14">
        <v>16.0</v>
      </c>
      <c r="Q2" s="14">
        <v>18.0</v>
      </c>
      <c r="R2" s="14">
        <v>18.0</v>
      </c>
      <c r="S2" s="14">
        <v>14.0</v>
      </c>
      <c r="T2" s="14">
        <v>16.0</v>
      </c>
      <c r="U2" s="14">
        <v>18.0</v>
      </c>
      <c r="V2" s="14">
        <v>11.0</v>
      </c>
      <c r="W2" s="14">
        <v>20.0</v>
      </c>
      <c r="X2" s="15">
        <v>131.0</v>
      </c>
    </row>
    <row r="3">
      <c r="A3" s="13">
        <v>45490.0</v>
      </c>
      <c r="B3" s="14" t="s">
        <v>9</v>
      </c>
      <c r="C3" s="14" t="s">
        <v>10</v>
      </c>
      <c r="D3" s="14">
        <v>30.0</v>
      </c>
      <c r="E3" s="14">
        <v>30.0</v>
      </c>
      <c r="F3" s="14">
        <v>30.0</v>
      </c>
      <c r="G3" s="14">
        <v>30.0</v>
      </c>
      <c r="H3" s="14">
        <v>16.0</v>
      </c>
      <c r="I3" s="14">
        <v>30.0</v>
      </c>
      <c r="J3" s="14">
        <v>30.0</v>
      </c>
      <c r="K3" s="14">
        <v>34.0</v>
      </c>
      <c r="L3" s="14">
        <v>9.0</v>
      </c>
      <c r="M3" s="14">
        <v>24.0</v>
      </c>
      <c r="N3" s="14">
        <v>24.0</v>
      </c>
      <c r="O3" s="14">
        <v>10.0</v>
      </c>
      <c r="P3" s="14">
        <v>30.0</v>
      </c>
      <c r="Q3" s="14">
        <v>20.0</v>
      </c>
      <c r="R3" s="14">
        <v>42.0</v>
      </c>
      <c r="S3" s="14">
        <v>2.0</v>
      </c>
      <c r="T3" s="14">
        <v>30.0</v>
      </c>
      <c r="U3" s="14">
        <v>30.0</v>
      </c>
      <c r="V3" s="14">
        <v>30.0</v>
      </c>
      <c r="W3" s="14">
        <v>30.0</v>
      </c>
      <c r="X3" s="15">
        <v>237.0</v>
      </c>
    </row>
    <row r="4">
      <c r="A4" s="16">
        <v>45477.0</v>
      </c>
      <c r="B4" s="17" t="s">
        <v>11</v>
      </c>
      <c r="C4" s="17" t="s">
        <v>12</v>
      </c>
      <c r="D4" s="17">
        <v>20.0</v>
      </c>
      <c r="E4" s="17">
        <v>30.0</v>
      </c>
      <c r="F4" s="17">
        <v>30.0</v>
      </c>
      <c r="G4" s="17">
        <v>33.0</v>
      </c>
      <c r="H4" s="17">
        <v>32.0</v>
      </c>
      <c r="I4" s="17">
        <v>34.0</v>
      </c>
      <c r="J4" s="17">
        <v>19.0</v>
      </c>
      <c r="K4" s="17">
        <v>30.0</v>
      </c>
      <c r="L4" s="17">
        <v>3.0</v>
      </c>
      <c r="M4" s="17">
        <v>30.0</v>
      </c>
      <c r="N4" s="17">
        <v>30.0</v>
      </c>
      <c r="O4" s="17">
        <v>30.0</v>
      </c>
      <c r="P4" s="17">
        <v>30.0</v>
      </c>
      <c r="Q4" s="17">
        <v>11.0</v>
      </c>
      <c r="R4" s="17">
        <v>24.0</v>
      </c>
      <c r="S4" s="17">
        <v>31.0</v>
      </c>
      <c r="T4" s="17">
        <v>25.0</v>
      </c>
      <c r="U4" s="17">
        <v>20.0</v>
      </c>
      <c r="V4" s="17">
        <v>20.0</v>
      </c>
      <c r="W4" s="17">
        <v>8.0</v>
      </c>
      <c r="X4" s="18">
        <v>209.5</v>
      </c>
    </row>
    <row r="5">
      <c r="A5" s="16">
        <v>45482.0</v>
      </c>
      <c r="B5" s="17" t="s">
        <v>13</v>
      </c>
      <c r="C5" s="17" t="s">
        <v>14</v>
      </c>
      <c r="D5" s="17">
        <v>31.0</v>
      </c>
      <c r="E5" s="17">
        <v>21.0</v>
      </c>
      <c r="F5" s="17">
        <v>28.0</v>
      </c>
      <c r="G5" s="17">
        <v>37.0</v>
      </c>
      <c r="H5" s="17">
        <v>21.0</v>
      </c>
      <c r="I5" s="17">
        <v>40.0</v>
      </c>
      <c r="J5" s="17">
        <v>42.0</v>
      </c>
      <c r="K5" s="17">
        <v>4.0</v>
      </c>
      <c r="L5" s="17">
        <v>40.0</v>
      </c>
      <c r="M5" s="17">
        <v>30.0</v>
      </c>
      <c r="N5" s="17">
        <v>30.0</v>
      </c>
      <c r="O5" s="17">
        <v>35.0</v>
      </c>
      <c r="P5" s="17">
        <v>40.0</v>
      </c>
      <c r="Q5" s="17">
        <v>42.0</v>
      </c>
      <c r="R5" s="17">
        <v>42.0</v>
      </c>
      <c r="S5" s="17">
        <v>10.0</v>
      </c>
      <c r="T5" s="17">
        <v>42.0</v>
      </c>
      <c r="U5" s="17">
        <v>40.0</v>
      </c>
      <c r="V5" s="17">
        <v>43.0</v>
      </c>
      <c r="W5" s="17">
        <v>44.0</v>
      </c>
      <c r="X5" s="18">
        <v>278.0</v>
      </c>
    </row>
    <row r="6">
      <c r="A6" s="16">
        <v>45477.0</v>
      </c>
      <c r="B6" s="17" t="s">
        <v>15</v>
      </c>
      <c r="C6" s="17" t="s">
        <v>16</v>
      </c>
      <c r="D6" s="17">
        <v>4.0</v>
      </c>
      <c r="E6" s="17">
        <v>7.0</v>
      </c>
      <c r="F6" s="17">
        <v>7.0</v>
      </c>
      <c r="G6" s="17">
        <v>8.0</v>
      </c>
      <c r="H6" s="17">
        <v>8.0</v>
      </c>
      <c r="I6" s="17">
        <v>8.0</v>
      </c>
      <c r="J6" s="17">
        <v>7.0</v>
      </c>
      <c r="K6" s="17">
        <v>9.0</v>
      </c>
      <c r="L6" s="17">
        <v>10.0</v>
      </c>
      <c r="M6" s="17">
        <v>10.0</v>
      </c>
      <c r="N6" s="17">
        <v>10.0</v>
      </c>
      <c r="O6" s="17">
        <v>10.0</v>
      </c>
      <c r="P6" s="17">
        <v>9.0</v>
      </c>
      <c r="Q6" s="17">
        <v>10.0</v>
      </c>
      <c r="R6" s="17">
        <v>11.0</v>
      </c>
      <c r="S6" s="17">
        <v>11.0</v>
      </c>
      <c r="T6" s="17">
        <v>12.0</v>
      </c>
      <c r="U6" s="17">
        <v>8.0</v>
      </c>
      <c r="V6" s="17">
        <v>9.0</v>
      </c>
      <c r="W6" s="17">
        <v>11.0</v>
      </c>
      <c r="X6" s="18">
        <v>89.5</v>
      </c>
    </row>
    <row r="7">
      <c r="A7" s="16">
        <v>45484.0</v>
      </c>
      <c r="B7" s="17" t="s">
        <v>17</v>
      </c>
      <c r="C7" s="17" t="s">
        <v>18</v>
      </c>
      <c r="D7" s="17">
        <v>15.0</v>
      </c>
      <c r="E7" s="17">
        <v>10.0</v>
      </c>
      <c r="F7" s="17">
        <v>18.0</v>
      </c>
      <c r="G7" s="17">
        <v>13.0</v>
      </c>
      <c r="H7" s="17">
        <v>20.0</v>
      </c>
      <c r="I7" s="17">
        <v>40.0</v>
      </c>
      <c r="J7" s="17">
        <v>51.0</v>
      </c>
      <c r="K7" s="17">
        <v>84.0</v>
      </c>
      <c r="L7" s="17">
        <v>12.0</v>
      </c>
      <c r="M7" s="17">
        <v>51.0</v>
      </c>
      <c r="N7" s="17">
        <v>100.0</v>
      </c>
      <c r="O7" s="17">
        <v>9.0</v>
      </c>
      <c r="P7" s="17">
        <v>46.0</v>
      </c>
      <c r="Q7" s="17">
        <v>28.0</v>
      </c>
      <c r="R7" s="17">
        <v>18.0</v>
      </c>
      <c r="S7" s="17">
        <v>4.0</v>
      </c>
      <c r="T7" s="17">
        <v>26.0</v>
      </c>
      <c r="U7" s="17">
        <v>14.0</v>
      </c>
      <c r="V7" s="17">
        <v>19.0</v>
      </c>
      <c r="W7" s="17">
        <v>13.0</v>
      </c>
      <c r="X7" s="18">
        <v>267.5</v>
      </c>
    </row>
    <row r="8">
      <c r="A8" s="13">
        <v>45477.0</v>
      </c>
      <c r="B8" s="14" t="s">
        <v>19</v>
      </c>
      <c r="C8" s="14" t="s">
        <v>20</v>
      </c>
      <c r="D8" s="14">
        <v>19.0</v>
      </c>
      <c r="E8" s="14">
        <v>14.0</v>
      </c>
      <c r="F8" s="14">
        <v>10.0</v>
      </c>
      <c r="G8" s="14">
        <v>9.0</v>
      </c>
      <c r="H8" s="14">
        <v>10.0</v>
      </c>
      <c r="I8" s="14">
        <v>10.0</v>
      </c>
      <c r="J8" s="14">
        <v>10.0</v>
      </c>
      <c r="K8" s="14">
        <v>13.0</v>
      </c>
      <c r="L8" s="14">
        <v>6.0</v>
      </c>
      <c r="M8" s="14">
        <v>5.0</v>
      </c>
      <c r="N8" s="14">
        <v>4.0</v>
      </c>
      <c r="O8" s="14">
        <v>7.0</v>
      </c>
      <c r="P8" s="14">
        <v>9.0</v>
      </c>
      <c r="Q8" s="14">
        <v>7.0</v>
      </c>
      <c r="R8" s="14">
        <v>9.0</v>
      </c>
      <c r="S8" s="14">
        <v>7.0</v>
      </c>
      <c r="T8" s="14">
        <v>9.0</v>
      </c>
      <c r="U8" s="14">
        <v>7.0</v>
      </c>
      <c r="V8" s="14">
        <v>9.0</v>
      </c>
      <c r="W8" s="14">
        <v>10.0</v>
      </c>
      <c r="X8" s="15">
        <v>79.5</v>
      </c>
    </row>
    <row r="9">
      <c r="A9" s="16">
        <v>45475.0</v>
      </c>
      <c r="B9" s="17" t="s">
        <v>21</v>
      </c>
      <c r="C9" s="17" t="s">
        <v>22</v>
      </c>
      <c r="D9" s="17">
        <v>4.0</v>
      </c>
      <c r="E9" s="17">
        <v>10.0</v>
      </c>
      <c r="F9" s="17">
        <v>6.0</v>
      </c>
      <c r="G9" s="17">
        <v>8.0</v>
      </c>
      <c r="H9" s="17">
        <v>6.0</v>
      </c>
      <c r="I9" s="17">
        <v>12.0</v>
      </c>
      <c r="J9" s="17">
        <v>10.0</v>
      </c>
      <c r="K9" s="17">
        <v>10.0</v>
      </c>
      <c r="L9" s="17">
        <v>10.0</v>
      </c>
      <c r="M9" s="17">
        <v>8.0</v>
      </c>
      <c r="N9" s="17">
        <v>12.0</v>
      </c>
      <c r="O9" s="17">
        <v>5.0</v>
      </c>
      <c r="P9" s="17">
        <v>4.0</v>
      </c>
      <c r="Q9" s="17">
        <v>6.0</v>
      </c>
      <c r="R9" s="17">
        <v>8.0</v>
      </c>
      <c r="S9" s="17">
        <v>6.0</v>
      </c>
      <c r="T9" s="17">
        <v>6.0</v>
      </c>
      <c r="U9" s="17">
        <v>6.0</v>
      </c>
      <c r="V9" s="17">
        <v>8.0</v>
      </c>
      <c r="W9" s="17">
        <v>6.0</v>
      </c>
      <c r="X9" s="18">
        <v>70.5</v>
      </c>
    </row>
    <row r="10">
      <c r="A10" s="16">
        <v>45490.0</v>
      </c>
      <c r="B10" s="17" t="s">
        <v>23</v>
      </c>
      <c r="C10" s="17" t="s">
        <v>24</v>
      </c>
      <c r="D10" s="17">
        <v>16.0</v>
      </c>
      <c r="E10" s="17">
        <v>20.0</v>
      </c>
      <c r="F10" s="17">
        <v>22.0</v>
      </c>
      <c r="G10" s="17">
        <v>13.0</v>
      </c>
      <c r="H10" s="17">
        <v>16.0</v>
      </c>
      <c r="I10" s="17">
        <v>18.0</v>
      </c>
      <c r="J10" s="17">
        <v>15.0</v>
      </c>
      <c r="K10" s="17">
        <v>16.0</v>
      </c>
      <c r="L10" s="17">
        <v>15.0</v>
      </c>
      <c r="M10" s="17">
        <v>15.0</v>
      </c>
      <c r="N10" s="17">
        <v>6.0</v>
      </c>
      <c r="O10" s="17">
        <v>15.0</v>
      </c>
      <c r="P10" s="17">
        <v>5.0</v>
      </c>
      <c r="Q10" s="17">
        <v>3.0</v>
      </c>
      <c r="R10" s="17">
        <v>12.0</v>
      </c>
      <c r="S10" s="17">
        <v>15.0</v>
      </c>
      <c r="T10" s="17">
        <v>15.0</v>
      </c>
      <c r="U10" s="17">
        <v>13.0</v>
      </c>
      <c r="V10" s="17">
        <v>10.0</v>
      </c>
      <c r="W10" s="17">
        <v>14.0</v>
      </c>
      <c r="X10" s="18">
        <v>118.5</v>
      </c>
    </row>
    <row r="11">
      <c r="A11" s="16">
        <v>45482.0</v>
      </c>
      <c r="B11" s="17" t="s">
        <v>25</v>
      </c>
      <c r="C11" s="17" t="s">
        <v>26</v>
      </c>
      <c r="D11" s="17">
        <v>20.0</v>
      </c>
      <c r="E11" s="17">
        <v>30.0</v>
      </c>
      <c r="F11" s="17">
        <v>40.0</v>
      </c>
      <c r="G11" s="17">
        <v>40.0</v>
      </c>
      <c r="H11" s="17">
        <v>50.0</v>
      </c>
      <c r="I11" s="17">
        <v>30.0</v>
      </c>
      <c r="J11" s="17">
        <v>40.0</v>
      </c>
      <c r="K11" s="17">
        <v>30.0</v>
      </c>
      <c r="L11" s="17">
        <v>20.0</v>
      </c>
      <c r="M11" s="17">
        <v>30.0</v>
      </c>
      <c r="N11" s="17">
        <v>20.0</v>
      </c>
      <c r="O11" s="17">
        <v>14.0</v>
      </c>
      <c r="P11" s="17">
        <v>12.0</v>
      </c>
      <c r="Q11" s="17">
        <v>20.0</v>
      </c>
      <c r="R11" s="17">
        <v>20.0</v>
      </c>
      <c r="S11" s="17">
        <v>20.0</v>
      </c>
      <c r="T11" s="17">
        <v>20.0</v>
      </c>
      <c r="U11" s="17">
        <v>8.0</v>
      </c>
      <c r="V11" s="17">
        <v>20.0</v>
      </c>
      <c r="W11" s="17">
        <v>20.0</v>
      </c>
      <c r="X11" s="18">
        <v>225.0</v>
      </c>
    </row>
    <row r="12">
      <c r="A12" s="13">
        <v>45482.0</v>
      </c>
      <c r="B12" s="14" t="s">
        <v>27</v>
      </c>
      <c r="C12" s="14" t="s">
        <v>28</v>
      </c>
      <c r="D12" s="14">
        <v>8.0</v>
      </c>
      <c r="E12" s="14">
        <v>7.0</v>
      </c>
      <c r="F12" s="14">
        <v>8.0</v>
      </c>
      <c r="G12" s="14">
        <v>10.0</v>
      </c>
      <c r="H12" s="14">
        <v>9.0</v>
      </c>
      <c r="I12" s="14">
        <v>7.0</v>
      </c>
      <c r="J12" s="14">
        <v>5.0</v>
      </c>
      <c r="K12" s="14">
        <v>10.0</v>
      </c>
      <c r="L12" s="14">
        <v>11.0</v>
      </c>
      <c r="M12" s="14">
        <v>10.0</v>
      </c>
      <c r="N12" s="14">
        <v>15.0</v>
      </c>
      <c r="O12" s="14">
        <v>18.0</v>
      </c>
      <c r="P12" s="14">
        <v>23.0</v>
      </c>
      <c r="Q12" s="14">
        <v>27.0</v>
      </c>
      <c r="R12" s="14">
        <v>21.0</v>
      </c>
      <c r="S12" s="14">
        <v>13.0</v>
      </c>
      <c r="T12" s="14">
        <v>16.0</v>
      </c>
      <c r="U12" s="14">
        <v>25.0</v>
      </c>
      <c r="V12" s="14">
        <v>26.0</v>
      </c>
      <c r="W12" s="14">
        <v>14.0</v>
      </c>
      <c r="X12" s="15">
        <v>109.5</v>
      </c>
    </row>
    <row r="13">
      <c r="A13" s="13">
        <v>45484.0</v>
      </c>
      <c r="B13" s="14" t="s">
        <v>29</v>
      </c>
      <c r="C13" s="14" t="s">
        <v>30</v>
      </c>
      <c r="D13" s="14">
        <v>20.0</v>
      </c>
      <c r="E13" s="14">
        <v>20.0</v>
      </c>
      <c r="F13" s="14">
        <v>20.0</v>
      </c>
      <c r="G13" s="14">
        <v>20.0</v>
      </c>
      <c r="H13" s="14">
        <v>20.0</v>
      </c>
      <c r="I13" s="14">
        <v>3.0</v>
      </c>
      <c r="J13" s="14">
        <v>6.0</v>
      </c>
      <c r="K13" s="14">
        <v>20.0</v>
      </c>
      <c r="L13" s="14">
        <v>20.0</v>
      </c>
      <c r="M13" s="14">
        <v>20.0</v>
      </c>
      <c r="N13" s="14">
        <v>20.0</v>
      </c>
      <c r="O13" s="14">
        <v>20.0</v>
      </c>
      <c r="P13" s="14">
        <v>20.0</v>
      </c>
      <c r="Q13" s="14">
        <v>20.0</v>
      </c>
      <c r="R13" s="14">
        <v>20.0</v>
      </c>
      <c r="S13" s="14">
        <v>20.0</v>
      </c>
      <c r="T13" s="14">
        <v>20.0</v>
      </c>
      <c r="U13" s="14">
        <v>20.0</v>
      </c>
      <c r="V13" s="14">
        <v>20.0</v>
      </c>
      <c r="W13" s="14">
        <v>20.0</v>
      </c>
      <c r="X13" s="15">
        <v>180.0</v>
      </c>
    </row>
    <row r="14">
      <c r="A14" s="13">
        <v>45477.0</v>
      </c>
      <c r="B14" s="14" t="s">
        <v>31</v>
      </c>
      <c r="C14" s="14" t="s">
        <v>32</v>
      </c>
      <c r="D14" s="14">
        <v>13.0</v>
      </c>
      <c r="E14" s="14">
        <v>11.0</v>
      </c>
      <c r="F14" s="14">
        <v>12.0</v>
      </c>
      <c r="G14" s="14">
        <v>13.0</v>
      </c>
      <c r="H14" s="14">
        <v>12.0</v>
      </c>
      <c r="I14" s="14">
        <v>13.0</v>
      </c>
      <c r="J14" s="14">
        <v>13.0</v>
      </c>
      <c r="K14" s="14">
        <v>4.0</v>
      </c>
      <c r="L14" s="14">
        <v>10.0</v>
      </c>
      <c r="M14" s="14">
        <v>10.0</v>
      </c>
      <c r="N14" s="14">
        <v>11.0</v>
      </c>
      <c r="O14" s="14">
        <v>3.0</v>
      </c>
      <c r="P14" s="14">
        <v>11.0</v>
      </c>
      <c r="Q14" s="14">
        <v>11.0</v>
      </c>
      <c r="R14" s="14">
        <v>12.0</v>
      </c>
      <c r="S14" s="14">
        <v>11.0</v>
      </c>
      <c r="T14" s="14">
        <v>6.0</v>
      </c>
      <c r="U14" s="14">
        <v>8.0</v>
      </c>
      <c r="V14" s="14">
        <v>7.0</v>
      </c>
      <c r="W14" s="14">
        <v>8.0</v>
      </c>
      <c r="X14" s="15">
        <v>86.5</v>
      </c>
    </row>
    <row r="15">
      <c r="A15" s="13">
        <v>45490.0</v>
      </c>
      <c r="B15" s="14" t="s">
        <v>33</v>
      </c>
      <c r="C15" s="14" t="s">
        <v>34</v>
      </c>
      <c r="D15" s="14">
        <v>10.0</v>
      </c>
      <c r="E15" s="14">
        <v>10.0</v>
      </c>
      <c r="F15" s="14">
        <v>17.0</v>
      </c>
      <c r="G15" s="14">
        <v>10.0</v>
      </c>
      <c r="H15" s="14">
        <v>10.0</v>
      </c>
      <c r="I15" s="14">
        <v>10.0</v>
      </c>
      <c r="J15" s="14">
        <v>10.0</v>
      </c>
      <c r="K15" s="14">
        <v>20.0</v>
      </c>
      <c r="L15" s="14">
        <v>11.0</v>
      </c>
      <c r="M15" s="14">
        <v>20.0</v>
      </c>
      <c r="N15" s="14">
        <v>10.0</v>
      </c>
      <c r="O15" s="14">
        <v>5.0</v>
      </c>
      <c r="P15" s="14">
        <v>20.0</v>
      </c>
      <c r="Q15" s="14">
        <v>47.0</v>
      </c>
      <c r="R15" s="14">
        <v>6.0</v>
      </c>
      <c r="S15" s="14">
        <v>40.0</v>
      </c>
      <c r="T15" s="14">
        <v>18.0</v>
      </c>
      <c r="U15" s="14">
        <v>30.0</v>
      </c>
      <c r="V15" s="14">
        <v>40.0</v>
      </c>
      <c r="W15" s="14">
        <v>40.0</v>
      </c>
      <c r="X15" s="15">
        <v>164.0</v>
      </c>
    </row>
    <row r="16">
      <c r="A16" s="13">
        <v>45476.0</v>
      </c>
      <c r="B16" s="14" t="s">
        <v>35</v>
      </c>
      <c r="C16" s="14" t="s">
        <v>36</v>
      </c>
      <c r="D16" s="14">
        <v>10.0</v>
      </c>
      <c r="E16" s="14">
        <v>10.0</v>
      </c>
      <c r="F16" s="14">
        <v>8.0</v>
      </c>
      <c r="G16" s="14">
        <v>8.0</v>
      </c>
      <c r="H16" s="14">
        <v>12.0</v>
      </c>
      <c r="I16" s="14">
        <v>16.0</v>
      </c>
      <c r="J16" s="14">
        <v>11.0</v>
      </c>
      <c r="K16" s="14">
        <v>16.0</v>
      </c>
      <c r="L16" s="14">
        <v>6.0</v>
      </c>
      <c r="M16" s="14">
        <v>6.0</v>
      </c>
      <c r="N16" s="14">
        <v>6.0</v>
      </c>
      <c r="O16" s="14">
        <v>12.0</v>
      </c>
      <c r="P16" s="14">
        <v>12.0</v>
      </c>
      <c r="Q16" s="14">
        <v>10.0</v>
      </c>
      <c r="R16" s="14">
        <v>15.0</v>
      </c>
      <c r="S16" s="14">
        <v>15.0</v>
      </c>
      <c r="T16" s="14">
        <v>8.0</v>
      </c>
      <c r="U16" s="14">
        <v>10.0</v>
      </c>
      <c r="V16" s="14">
        <v>15.0</v>
      </c>
      <c r="W16" s="14">
        <v>14.0</v>
      </c>
      <c r="X16" s="15">
        <v>105.0</v>
      </c>
    </row>
    <row r="17">
      <c r="A17" s="16">
        <v>45476.0</v>
      </c>
      <c r="B17" s="17" t="s">
        <v>37</v>
      </c>
      <c r="C17" s="17" t="s">
        <v>38</v>
      </c>
      <c r="D17" s="17">
        <v>33.0</v>
      </c>
      <c r="E17" s="17">
        <v>29.0</v>
      </c>
      <c r="F17" s="17">
        <v>22.0</v>
      </c>
      <c r="G17" s="17">
        <v>30.0</v>
      </c>
      <c r="H17" s="17">
        <v>2.0</v>
      </c>
      <c r="I17" s="17">
        <v>13.0</v>
      </c>
      <c r="J17" s="17">
        <v>38.0</v>
      </c>
      <c r="K17" s="17">
        <v>40.0</v>
      </c>
      <c r="L17" s="17">
        <v>62.0</v>
      </c>
      <c r="M17" s="17">
        <v>62.0</v>
      </c>
      <c r="N17" s="17">
        <v>16.0</v>
      </c>
      <c r="O17" s="17">
        <v>46.0</v>
      </c>
      <c r="P17" s="17">
        <v>62.0</v>
      </c>
      <c r="Q17" s="17">
        <v>83.0</v>
      </c>
      <c r="R17" s="17">
        <v>18.0</v>
      </c>
      <c r="S17" s="17">
        <v>52.0</v>
      </c>
      <c r="T17" s="17">
        <v>31.0</v>
      </c>
      <c r="U17" s="17">
        <v>33.0</v>
      </c>
      <c r="V17" s="17">
        <v>30.0</v>
      </c>
      <c r="W17" s="17">
        <v>52.0</v>
      </c>
      <c r="X17" s="18">
        <v>297.5</v>
      </c>
    </row>
    <row r="18">
      <c r="A18" s="13">
        <v>45477.0</v>
      </c>
      <c r="B18" s="14" t="s">
        <v>39</v>
      </c>
      <c r="C18" s="14" t="s">
        <v>40</v>
      </c>
      <c r="D18" s="14">
        <v>32.0</v>
      </c>
      <c r="E18" s="14">
        <v>12.0</v>
      </c>
      <c r="F18" s="14">
        <v>16.0</v>
      </c>
      <c r="G18" s="14">
        <v>21.0</v>
      </c>
      <c r="H18" s="14">
        <v>20.0</v>
      </c>
      <c r="I18" s="14">
        <v>23.0</v>
      </c>
      <c r="J18" s="14">
        <v>18.0</v>
      </c>
      <c r="K18" s="14">
        <v>20.0</v>
      </c>
      <c r="L18" s="14">
        <v>7.0</v>
      </c>
      <c r="M18" s="14">
        <v>14.0</v>
      </c>
      <c r="N18" s="14">
        <v>20.0</v>
      </c>
      <c r="O18" s="14">
        <v>20.0</v>
      </c>
      <c r="P18" s="14">
        <v>22.0</v>
      </c>
      <c r="Q18" s="14">
        <v>17.0</v>
      </c>
      <c r="R18" s="14">
        <v>20.0</v>
      </c>
      <c r="S18" s="14">
        <v>16.0</v>
      </c>
      <c r="T18" s="14">
        <v>4.0</v>
      </c>
      <c r="U18" s="14">
        <v>18.0</v>
      </c>
      <c r="V18" s="14">
        <v>22.0</v>
      </c>
      <c r="W18" s="14">
        <v>16.0</v>
      </c>
      <c r="X18" s="15">
        <v>140.0</v>
      </c>
    </row>
    <row r="19">
      <c r="A19" s="13">
        <v>45484.0</v>
      </c>
      <c r="B19" s="14" t="s">
        <v>41</v>
      </c>
      <c r="C19" s="14" t="s">
        <v>42</v>
      </c>
      <c r="D19" s="14">
        <v>5.0</v>
      </c>
      <c r="E19" s="14">
        <v>10.0</v>
      </c>
      <c r="F19" s="14">
        <v>15.0</v>
      </c>
      <c r="G19" s="14">
        <v>10.0</v>
      </c>
      <c r="H19" s="14">
        <v>6.0</v>
      </c>
      <c r="I19" s="14">
        <v>7.0</v>
      </c>
      <c r="J19" s="14">
        <v>9.0</v>
      </c>
      <c r="K19" s="14">
        <v>12.0</v>
      </c>
      <c r="L19" s="14">
        <v>14.0</v>
      </c>
      <c r="M19" s="14">
        <v>15.0</v>
      </c>
      <c r="N19" s="14">
        <v>16.0</v>
      </c>
      <c r="O19" s="14">
        <v>17.0</v>
      </c>
      <c r="P19" s="14">
        <v>4.0</v>
      </c>
      <c r="Q19" s="14">
        <v>15.0</v>
      </c>
      <c r="R19" s="14">
        <v>12.0</v>
      </c>
      <c r="S19" s="14">
        <v>15.0</v>
      </c>
      <c r="T19" s="14">
        <v>15.0</v>
      </c>
      <c r="U19" s="14">
        <v>16.0</v>
      </c>
      <c r="V19" s="14">
        <v>6.0</v>
      </c>
      <c r="W19" s="14">
        <v>15.0</v>
      </c>
      <c r="X19" s="15">
        <v>101.0</v>
      </c>
    </row>
    <row r="20">
      <c r="A20" s="13">
        <v>45485.0</v>
      </c>
      <c r="B20" s="14" t="s">
        <v>43</v>
      </c>
      <c r="C20" s="14" t="s">
        <v>44</v>
      </c>
      <c r="D20" s="14">
        <v>6.0</v>
      </c>
      <c r="E20" s="14">
        <v>7.0</v>
      </c>
      <c r="F20" s="14">
        <v>6.0</v>
      </c>
      <c r="G20" s="14">
        <v>15.0</v>
      </c>
      <c r="H20" s="14">
        <v>17.0</v>
      </c>
      <c r="I20" s="14">
        <v>21.0</v>
      </c>
      <c r="J20" s="14">
        <v>28.0</v>
      </c>
      <c r="K20" s="14">
        <v>31.0</v>
      </c>
      <c r="L20" s="14">
        <v>40.0</v>
      </c>
      <c r="M20" s="14">
        <v>30.0</v>
      </c>
      <c r="N20" s="14">
        <v>31.0</v>
      </c>
      <c r="O20" s="14">
        <v>18.0</v>
      </c>
      <c r="P20" s="14">
        <v>19.0</v>
      </c>
      <c r="Q20" s="14">
        <v>21.0</v>
      </c>
      <c r="R20" s="14">
        <v>23.0</v>
      </c>
      <c r="S20" s="14">
        <v>30.0</v>
      </c>
      <c r="T20" s="14">
        <v>32.0</v>
      </c>
      <c r="U20" s="14">
        <v>42.0</v>
      </c>
      <c r="V20" s="14">
        <v>30.0</v>
      </c>
      <c r="W20" s="14">
        <v>34.0</v>
      </c>
      <c r="X20" s="15">
        <v>213.5</v>
      </c>
    </row>
    <row r="21">
      <c r="A21" s="13">
        <v>45476.0</v>
      </c>
      <c r="B21" s="14" t="s">
        <v>45</v>
      </c>
      <c r="C21" s="14" t="s">
        <v>46</v>
      </c>
      <c r="D21" s="14">
        <v>3.0</v>
      </c>
      <c r="E21" s="14">
        <v>3.0</v>
      </c>
      <c r="F21" s="14">
        <v>3.0</v>
      </c>
      <c r="G21" s="14">
        <v>4.0</v>
      </c>
      <c r="H21" s="14">
        <v>7.0</v>
      </c>
      <c r="I21" s="14">
        <v>5.0</v>
      </c>
      <c r="J21" s="14">
        <v>4.0</v>
      </c>
      <c r="K21" s="14">
        <v>6.0</v>
      </c>
      <c r="L21" s="14">
        <v>3.0</v>
      </c>
      <c r="M21" s="14">
        <v>4.0</v>
      </c>
      <c r="N21" s="14">
        <v>6.0</v>
      </c>
      <c r="O21" s="14">
        <v>7.0</v>
      </c>
      <c r="P21" s="14">
        <v>3.0</v>
      </c>
      <c r="Q21" s="14">
        <v>9.0</v>
      </c>
      <c r="R21" s="14">
        <v>6.0</v>
      </c>
      <c r="S21" s="14">
        <v>5.0</v>
      </c>
      <c r="T21" s="14">
        <v>8.0</v>
      </c>
      <c r="U21" s="14">
        <v>10.0</v>
      </c>
      <c r="V21" s="14">
        <v>4.0</v>
      </c>
      <c r="W21" s="14">
        <v>5.0</v>
      </c>
      <c r="X21" s="15">
        <v>51.0</v>
      </c>
    </row>
    <row r="22">
      <c r="A22" s="16">
        <v>45475.0</v>
      </c>
      <c r="B22" s="17" t="s">
        <v>47</v>
      </c>
      <c r="C22" s="17" t="s">
        <v>48</v>
      </c>
      <c r="D22" s="17">
        <v>3.0</v>
      </c>
      <c r="E22" s="17">
        <v>3.0</v>
      </c>
      <c r="F22" s="17">
        <v>5.0</v>
      </c>
      <c r="G22" s="17">
        <v>2.0</v>
      </c>
      <c r="H22" s="17">
        <v>4.0</v>
      </c>
      <c r="I22" s="17">
        <v>3.0</v>
      </c>
      <c r="J22" s="17">
        <v>4.0</v>
      </c>
      <c r="K22" s="17">
        <v>3.0</v>
      </c>
      <c r="L22" s="17">
        <v>3.0</v>
      </c>
      <c r="M22" s="17">
        <v>3.0</v>
      </c>
      <c r="N22" s="17">
        <v>3.0</v>
      </c>
      <c r="O22" s="17">
        <v>3.0</v>
      </c>
      <c r="P22" s="17">
        <v>3.0</v>
      </c>
      <c r="Q22" s="17">
        <v>3.0</v>
      </c>
      <c r="R22" s="17">
        <v>3.0</v>
      </c>
      <c r="S22" s="17">
        <v>3.0</v>
      </c>
      <c r="T22" s="17">
        <v>4.0</v>
      </c>
      <c r="U22" s="17">
        <v>3.0</v>
      </c>
      <c r="V22" s="17">
        <v>3.0</v>
      </c>
      <c r="W22" s="17">
        <v>3.0</v>
      </c>
      <c r="X22" s="18">
        <v>30.5</v>
      </c>
    </row>
    <row r="23">
      <c r="A23" s="13">
        <v>45476.0</v>
      </c>
      <c r="B23" s="14" t="s">
        <v>49</v>
      </c>
      <c r="C23" s="14" t="s">
        <v>50</v>
      </c>
      <c r="D23" s="14">
        <v>16.0</v>
      </c>
      <c r="E23" s="14">
        <v>16.0</v>
      </c>
      <c r="F23" s="14">
        <v>28.0</v>
      </c>
      <c r="G23" s="14">
        <v>28.0</v>
      </c>
      <c r="H23" s="14">
        <v>29.0</v>
      </c>
      <c r="I23" s="14">
        <v>36.0</v>
      </c>
      <c r="J23" s="14">
        <v>36.0</v>
      </c>
      <c r="K23" s="14">
        <v>32.0</v>
      </c>
      <c r="L23" s="14">
        <v>30.0</v>
      </c>
      <c r="M23" s="14">
        <v>32.0</v>
      </c>
      <c r="N23" s="14">
        <v>36.0</v>
      </c>
      <c r="O23" s="14">
        <v>36.0</v>
      </c>
      <c r="P23" s="14">
        <v>30.0</v>
      </c>
      <c r="Q23" s="14">
        <v>28.0</v>
      </c>
      <c r="R23" s="14">
        <v>28.0</v>
      </c>
      <c r="S23" s="14">
        <v>18.0</v>
      </c>
      <c r="T23" s="14">
        <v>21.0</v>
      </c>
      <c r="U23" s="14">
        <v>26.0</v>
      </c>
      <c r="V23" s="14">
        <v>26.0</v>
      </c>
      <c r="W23" s="14">
        <v>26.0</v>
      </c>
      <c r="X23" s="15">
        <v>259.5</v>
      </c>
    </row>
    <row r="24">
      <c r="A24" s="13">
        <v>45545.0</v>
      </c>
      <c r="B24" s="14" t="s">
        <v>51</v>
      </c>
      <c r="C24" s="14" t="s">
        <v>52</v>
      </c>
      <c r="D24" s="14">
        <v>23.0</v>
      </c>
      <c r="E24" s="14">
        <v>16.0</v>
      </c>
      <c r="F24" s="14">
        <v>18.0</v>
      </c>
      <c r="G24" s="14">
        <v>18.0</v>
      </c>
      <c r="H24" s="14">
        <v>23.0</v>
      </c>
      <c r="I24" s="14">
        <v>18.0</v>
      </c>
      <c r="J24" s="14">
        <v>20.0</v>
      </c>
      <c r="K24" s="14">
        <v>25.0</v>
      </c>
      <c r="L24" s="14">
        <v>18.0</v>
      </c>
      <c r="M24" s="14">
        <v>20.0</v>
      </c>
      <c r="N24" s="14">
        <v>24.0</v>
      </c>
      <c r="O24" s="14">
        <v>21.0</v>
      </c>
      <c r="P24" s="14">
        <v>25.0</v>
      </c>
      <c r="Q24" s="14">
        <v>19.0</v>
      </c>
      <c r="R24" s="14">
        <v>23.0</v>
      </c>
      <c r="S24" s="14">
        <v>21.0</v>
      </c>
      <c r="T24" s="14">
        <v>25.0</v>
      </c>
      <c r="U24" s="14">
        <v>22.0</v>
      </c>
      <c r="V24" s="14">
        <v>11.0</v>
      </c>
      <c r="W24" s="14">
        <v>21.0</v>
      </c>
      <c r="X24" s="15">
        <v>200.0</v>
      </c>
    </row>
    <row r="25">
      <c r="A25" s="13">
        <v>45504.0</v>
      </c>
      <c r="B25" s="14" t="s">
        <v>53</v>
      </c>
      <c r="C25" s="14" t="s">
        <v>54</v>
      </c>
      <c r="D25" s="14">
        <v>7.0</v>
      </c>
      <c r="E25" s="14">
        <v>11.0</v>
      </c>
      <c r="F25" s="14">
        <v>14.0</v>
      </c>
      <c r="G25" s="14">
        <v>6.0</v>
      </c>
      <c r="H25" s="14">
        <v>13.0</v>
      </c>
      <c r="I25" s="14">
        <v>9.0</v>
      </c>
      <c r="J25" s="14">
        <v>6.0</v>
      </c>
      <c r="K25" s="14">
        <v>6.0</v>
      </c>
      <c r="L25" s="14">
        <v>2.0</v>
      </c>
      <c r="M25" s="14">
        <v>4.0</v>
      </c>
      <c r="N25" s="14">
        <v>3.0</v>
      </c>
      <c r="O25" s="14">
        <v>6.0</v>
      </c>
      <c r="P25" s="14">
        <v>4.0</v>
      </c>
      <c r="Q25" s="14">
        <v>5.0</v>
      </c>
      <c r="R25" s="14">
        <v>3.0</v>
      </c>
      <c r="S25" s="14">
        <v>8.0</v>
      </c>
      <c r="T25" s="14">
        <v>3.0</v>
      </c>
      <c r="U25" s="14">
        <v>7.0</v>
      </c>
      <c r="V25" s="14">
        <v>6.0</v>
      </c>
      <c r="W25" s="14">
        <v>3.0</v>
      </c>
      <c r="X25" s="15">
        <v>60.0</v>
      </c>
    </row>
    <row r="26">
      <c r="A26" s="16">
        <v>45505.0</v>
      </c>
      <c r="B26" s="17" t="s">
        <v>55</v>
      </c>
      <c r="C26" s="17" t="s">
        <v>56</v>
      </c>
      <c r="D26" s="17">
        <v>33.0</v>
      </c>
      <c r="E26" s="17">
        <v>21.0</v>
      </c>
      <c r="F26" s="17">
        <v>23.0</v>
      </c>
      <c r="G26" s="17">
        <v>20.0</v>
      </c>
      <c r="H26" s="17">
        <v>21.0</v>
      </c>
      <c r="I26" s="17">
        <v>17.0</v>
      </c>
      <c r="J26" s="17">
        <v>72.0</v>
      </c>
      <c r="K26" s="17">
        <v>38.0</v>
      </c>
      <c r="L26" s="17">
        <v>38.0</v>
      </c>
      <c r="M26" s="17">
        <v>39.0</v>
      </c>
      <c r="N26" s="17">
        <v>13.0</v>
      </c>
      <c r="O26" s="17">
        <v>53.0</v>
      </c>
      <c r="P26" s="17">
        <v>9.0</v>
      </c>
      <c r="Q26" s="17">
        <v>37.0</v>
      </c>
      <c r="R26" s="17">
        <v>44.0</v>
      </c>
      <c r="S26" s="17">
        <v>45.0</v>
      </c>
      <c r="T26" s="17">
        <v>44.0</v>
      </c>
      <c r="U26" s="17">
        <v>39.0</v>
      </c>
      <c r="V26" s="17">
        <v>44.0</v>
      </c>
      <c r="W26" s="17">
        <v>43.0</v>
      </c>
      <c r="X26" s="18">
        <v>277.5</v>
      </c>
    </row>
    <row r="27">
      <c r="A27" s="13">
        <v>45506.0</v>
      </c>
      <c r="B27" s="14" t="s">
        <v>57</v>
      </c>
      <c r="C27" s="14" t="s">
        <v>58</v>
      </c>
      <c r="D27" s="14">
        <v>28.0</v>
      </c>
      <c r="E27" s="14">
        <v>16.0</v>
      </c>
      <c r="F27" s="14">
        <v>12.0</v>
      </c>
      <c r="G27" s="14">
        <v>19.0</v>
      </c>
      <c r="H27" s="14">
        <v>5.0</v>
      </c>
      <c r="I27" s="14">
        <v>9.0</v>
      </c>
      <c r="J27" s="14">
        <v>14.0</v>
      </c>
      <c r="K27" s="14">
        <v>11.0</v>
      </c>
      <c r="L27" s="14">
        <v>11.0</v>
      </c>
      <c r="M27" s="14">
        <v>7.0</v>
      </c>
      <c r="N27" s="14">
        <v>14.0</v>
      </c>
      <c r="O27" s="14">
        <v>20.0</v>
      </c>
      <c r="P27" s="14">
        <v>16.0</v>
      </c>
      <c r="Q27" s="14">
        <v>16.0</v>
      </c>
      <c r="R27" s="14">
        <v>20.0</v>
      </c>
      <c r="S27" s="14">
        <v>18.0</v>
      </c>
      <c r="T27" s="14">
        <v>20.0</v>
      </c>
      <c r="U27" s="14">
        <v>20.0</v>
      </c>
      <c r="V27" s="14">
        <v>17.0</v>
      </c>
      <c r="W27" s="14">
        <v>20.0</v>
      </c>
      <c r="X27" s="15">
        <v>128.0</v>
      </c>
    </row>
    <row r="28">
      <c r="A28" s="16">
        <v>45511.0</v>
      </c>
      <c r="B28" s="17" t="s">
        <v>59</v>
      </c>
      <c r="C28" s="17" t="s">
        <v>60</v>
      </c>
      <c r="D28" s="17">
        <v>18.0</v>
      </c>
      <c r="E28" s="17">
        <v>12.0</v>
      </c>
      <c r="F28" s="17">
        <v>14.0</v>
      </c>
      <c r="G28" s="17">
        <v>18.0</v>
      </c>
      <c r="H28" s="17">
        <v>18.0</v>
      </c>
      <c r="I28" s="17">
        <v>15.0</v>
      </c>
      <c r="J28" s="17">
        <v>16.0</v>
      </c>
      <c r="K28" s="17">
        <v>19.0</v>
      </c>
      <c r="L28" s="17">
        <v>13.0</v>
      </c>
      <c r="M28" s="17">
        <v>18.0</v>
      </c>
      <c r="N28" s="17">
        <v>14.0</v>
      </c>
      <c r="O28" s="17">
        <v>15.0</v>
      </c>
      <c r="P28" s="17">
        <v>13.0</v>
      </c>
      <c r="Q28" s="17">
        <v>15.0</v>
      </c>
      <c r="R28" s="17">
        <v>15.0</v>
      </c>
      <c r="S28" s="17">
        <v>14.0</v>
      </c>
      <c r="T28" s="17">
        <v>16.0</v>
      </c>
      <c r="U28" s="17">
        <v>10.0</v>
      </c>
      <c r="V28" s="17">
        <v>18.0</v>
      </c>
      <c r="W28" s="17">
        <v>14.0</v>
      </c>
      <c r="X28" s="18">
        <v>125.0</v>
      </c>
    </row>
    <row r="29">
      <c r="X29" s="4"/>
    </row>
    <row r="30">
      <c r="X30" s="4"/>
    </row>
    <row r="31">
      <c r="X31" s="4"/>
    </row>
    <row r="32">
      <c r="X3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2" t="s">
        <v>3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  <c r="T1" s="3">
        <v>17.0</v>
      </c>
      <c r="U1" s="3">
        <v>18.0</v>
      </c>
      <c r="V1" s="3">
        <v>19.0</v>
      </c>
      <c r="W1" s="3">
        <v>20.0</v>
      </c>
      <c r="X1" s="19" t="s">
        <v>62</v>
      </c>
    </row>
    <row r="2">
      <c r="A2" s="13">
        <f>'BART score'!A2</f>
        <v>45484</v>
      </c>
      <c r="B2" s="14" t="str">
        <f>'BART score'!B2</f>
        <v>17h12</v>
      </c>
      <c r="C2" s="14" t="str">
        <f>'BART score'!C2</f>
        <v>AM01071945</v>
      </c>
      <c r="D2" s="14">
        <f>IF('BART (popped)'!E2="FALSO",'BART score'!D2,"")</f>
        <v>8</v>
      </c>
      <c r="E2" s="14">
        <f>IF('BART (popped)'!F2="FALSO",'BART score'!E2,"")</f>
        <v>10</v>
      </c>
      <c r="F2" s="14">
        <f>IF('BART (popped)'!G2="FALSO",'BART score'!F2,"")</f>
        <v>14</v>
      </c>
      <c r="G2" s="14">
        <f>IF('BART (popped)'!H2="FALSO",'BART score'!G2,"")</f>
        <v>14</v>
      </c>
      <c r="H2" s="14">
        <f>IF('BART (popped)'!I2="FALSO",'BART score'!H2,"")</f>
        <v>20</v>
      </c>
      <c r="I2" s="14" t="str">
        <f>IF('BART (popped)'!J2="FALSO",'BART score'!I2,"")</f>
        <v/>
      </c>
      <c r="J2" s="14">
        <f>IF('BART (popped)'!K2="FALSO",'BART score'!J2,"")</f>
        <v>10</v>
      </c>
      <c r="K2" s="14">
        <f>IF('BART (popped)'!L2="FALSO",'BART score'!K2,"")</f>
        <v>20</v>
      </c>
      <c r="L2" s="14">
        <f>IF('BART (popped)'!M2="FALSO",'BART score'!L2,"")</f>
        <v>14</v>
      </c>
      <c r="M2" s="14">
        <f>IF('BART (popped)'!N2="FALSO",'BART score'!M2,"")</f>
        <v>16</v>
      </c>
      <c r="N2" s="14">
        <f>IF('BART (popped)'!O2="FALSO",'BART score'!N2,"")</f>
        <v>16</v>
      </c>
      <c r="O2" s="14" t="str">
        <f>IF('BART (popped)'!P2="FALSO",'BART score'!O2,"")</f>
        <v/>
      </c>
      <c r="P2" s="14">
        <f>IF('BART (popped)'!Q2="FALSO",'BART score'!P2,"")</f>
        <v>16</v>
      </c>
      <c r="Q2" s="14">
        <f>IF('BART (popped)'!R2="FALSO",'BART score'!Q2,"")</f>
        <v>18</v>
      </c>
      <c r="R2" s="14">
        <f>IF('BART (popped)'!S2="FALSO",'BART score'!R2,"")</f>
        <v>18</v>
      </c>
      <c r="S2" s="14">
        <f>IF('BART (popped)'!T2="FALSO",'BART score'!S2,"")</f>
        <v>14</v>
      </c>
      <c r="T2" s="14">
        <f>IF('BART (popped)'!U2="FALSO",'BART score'!T2,"")</f>
        <v>16</v>
      </c>
      <c r="U2" s="14">
        <f>IF('BART (popped)'!V2="FALSO",'BART score'!U2,"")</f>
        <v>18</v>
      </c>
      <c r="V2" s="14" t="str">
        <f>IF('BART (popped)'!W2="FALSO",'BART score'!V2,"")</f>
        <v/>
      </c>
      <c r="W2" s="14">
        <f>IF('BART (popped)'!X2="FALSO",'BART score'!W2,"")</f>
        <v>20</v>
      </c>
      <c r="X2" s="15">
        <f t="shared" ref="X2:X17" si="1">AVERAGE(D2:W2)</f>
        <v>15.41176471</v>
      </c>
    </row>
    <row r="3">
      <c r="A3" s="13">
        <f>'BART score'!A3</f>
        <v>45490</v>
      </c>
      <c r="B3" s="14" t="str">
        <f>'BART score'!B3</f>
        <v>14h52</v>
      </c>
      <c r="C3" s="14" t="str">
        <f>'BART score'!C3</f>
        <v>AP17091950</v>
      </c>
      <c r="D3" s="14">
        <f>IF('BART (popped)'!E3="FALSO",'BART score'!D3,"")</f>
        <v>30</v>
      </c>
      <c r="E3" s="14">
        <f>IF('BART (popped)'!F3="FALSO",'BART score'!E3,"")</f>
        <v>30</v>
      </c>
      <c r="F3" s="14">
        <f>IF('BART (popped)'!G3="FALSO",'BART score'!F3,"")</f>
        <v>30</v>
      </c>
      <c r="G3" s="14">
        <f>IF('BART (popped)'!H3="FALSO",'BART score'!G3,"")</f>
        <v>30</v>
      </c>
      <c r="H3" s="14" t="str">
        <f>IF('BART (popped)'!I3="FALSO",'BART score'!H3,"")</f>
        <v/>
      </c>
      <c r="I3" s="14">
        <f>IF('BART (popped)'!J3="FALSO",'BART score'!I3,"")</f>
        <v>30</v>
      </c>
      <c r="J3" s="14">
        <f>IF('BART (popped)'!K3="FALSO",'BART score'!J3,"")</f>
        <v>30</v>
      </c>
      <c r="K3" s="14">
        <f>IF('BART (popped)'!L3="FALSO",'BART score'!K3,"")</f>
        <v>34</v>
      </c>
      <c r="L3" s="14" t="str">
        <f>IF('BART (popped)'!M3="FALSO",'BART score'!L3,"")</f>
        <v/>
      </c>
      <c r="M3" s="14">
        <f>IF('BART (popped)'!N3="FALSO",'BART score'!M3,"")</f>
        <v>24</v>
      </c>
      <c r="N3" s="14">
        <f>IF('BART (popped)'!O3="FALSO",'BART score'!N3,"")</f>
        <v>24</v>
      </c>
      <c r="O3" s="14" t="str">
        <f>IF('BART (popped)'!P3="FALSO",'BART score'!O3,"")</f>
        <v/>
      </c>
      <c r="P3" s="14">
        <f>IF('BART (popped)'!Q3="FALSO",'BART score'!P3,"")</f>
        <v>30</v>
      </c>
      <c r="Q3" s="14">
        <f>IF('BART (popped)'!R3="FALSO",'BART score'!Q3,"")</f>
        <v>20</v>
      </c>
      <c r="R3" s="14">
        <f>IF('BART (popped)'!S3="FALSO",'BART score'!R3,"")</f>
        <v>42</v>
      </c>
      <c r="S3" s="14" t="str">
        <f>IF('BART (popped)'!T3="FALSO",'BART score'!S3,"")</f>
        <v/>
      </c>
      <c r="T3" s="14">
        <f>IF('BART (popped)'!U3="FALSO",'BART score'!T3,"")</f>
        <v>30</v>
      </c>
      <c r="U3" s="14">
        <f>IF('BART (popped)'!V3="FALSO",'BART score'!U3,"")</f>
        <v>30</v>
      </c>
      <c r="V3" s="14">
        <f>IF('BART (popped)'!W3="FALSO",'BART score'!V3,"")</f>
        <v>30</v>
      </c>
      <c r="W3" s="14">
        <f>IF('BART (popped)'!X3="FALSO",'BART score'!W3,"")</f>
        <v>30</v>
      </c>
      <c r="X3" s="15">
        <f t="shared" si="1"/>
        <v>29.625</v>
      </c>
    </row>
    <row r="4">
      <c r="A4" s="13">
        <f>'BART score'!A8</f>
        <v>45477</v>
      </c>
      <c r="B4" s="14" t="str">
        <f>'BART score'!B8</f>
        <v>16h14</v>
      </c>
      <c r="C4" s="14" t="str">
        <f>'BART score'!C8</f>
        <v>JM19101961</v>
      </c>
      <c r="D4" s="14">
        <f>IF('BART (popped)'!E8="FALSO",'BART score'!D8,"")</f>
        <v>19</v>
      </c>
      <c r="E4" s="14" t="str">
        <f>IF('BART (popped)'!F8="FALSO",'BART score'!E8,"")</f>
        <v/>
      </c>
      <c r="F4" s="14">
        <f>IF('BART (popped)'!G8="FALSO",'BART score'!F8,"")</f>
        <v>10</v>
      </c>
      <c r="G4" s="14">
        <f>IF('BART (popped)'!H8="FALSO",'BART score'!G8,"")</f>
        <v>9</v>
      </c>
      <c r="H4" s="14">
        <f>IF('BART (popped)'!I8="FALSO",'BART score'!H8,"")</f>
        <v>10</v>
      </c>
      <c r="I4" s="14">
        <f>IF('BART (popped)'!J8="FALSO",'BART score'!I8,"")</f>
        <v>10</v>
      </c>
      <c r="J4" s="14">
        <f>IF('BART (popped)'!K8="FALSO",'BART score'!J8,"")</f>
        <v>10</v>
      </c>
      <c r="K4" s="14">
        <f>IF('BART (popped)'!L8="FALSO",'BART score'!K8,"")</f>
        <v>13</v>
      </c>
      <c r="L4" s="14" t="str">
        <f>IF('BART (popped)'!M8="FALSO",'BART score'!L8,"")</f>
        <v/>
      </c>
      <c r="M4" s="14" t="str">
        <f>IF('BART (popped)'!N8="FALSO",'BART score'!M8,"")</f>
        <v/>
      </c>
      <c r="N4" s="14">
        <f>IF('BART (popped)'!O8="FALSO",'BART score'!N8,"")</f>
        <v>4</v>
      </c>
      <c r="O4" s="14">
        <f>IF('BART (popped)'!P8="FALSO",'BART score'!O8,"")</f>
        <v>7</v>
      </c>
      <c r="P4" s="14">
        <f>IF('BART (popped)'!Q8="FALSO",'BART score'!P8,"")</f>
        <v>9</v>
      </c>
      <c r="Q4" s="14">
        <f>IF('BART (popped)'!R8="FALSO",'BART score'!Q8,"")</f>
        <v>7</v>
      </c>
      <c r="R4" s="14">
        <f>IF('BART (popped)'!S8="FALSO",'BART score'!R8,"")</f>
        <v>9</v>
      </c>
      <c r="S4" s="14">
        <f>IF('BART (popped)'!T8="FALSO",'BART score'!S8,"")</f>
        <v>7</v>
      </c>
      <c r="T4" s="14">
        <f>IF('BART (popped)'!U8="FALSO",'BART score'!T8,"")</f>
        <v>9</v>
      </c>
      <c r="U4" s="14">
        <f>IF('BART (popped)'!V8="FALSO",'BART score'!U8,"")</f>
        <v>7</v>
      </c>
      <c r="V4" s="14">
        <f>IF('BART (popped)'!W8="FALSO",'BART score'!V8,"")</f>
        <v>9</v>
      </c>
      <c r="W4" s="14">
        <f>IF('BART (popped)'!X8="FALSO",'BART score'!W8,"")</f>
        <v>10</v>
      </c>
      <c r="X4" s="15">
        <f t="shared" si="1"/>
        <v>9.352941176</v>
      </c>
    </row>
    <row r="5">
      <c r="A5" s="13">
        <f>'BART score'!A12</f>
        <v>45482</v>
      </c>
      <c r="B5" s="14" t="str">
        <f>'BART score'!B12</f>
        <v>12h02</v>
      </c>
      <c r="C5" s="14" t="str">
        <f>'BART score'!C12</f>
        <v>MG06041942</v>
      </c>
      <c r="D5" s="14">
        <f>IF('BART (popped)'!E12="FALSO",'BART score'!D12,"")</f>
        <v>8</v>
      </c>
      <c r="E5" s="14">
        <f>IF('BART (popped)'!F12="FALSO",'BART score'!E12,"")</f>
        <v>7</v>
      </c>
      <c r="F5" s="14">
        <f>IF('BART (popped)'!G12="FALSO",'BART score'!F12,"")</f>
        <v>8</v>
      </c>
      <c r="G5" s="14">
        <f>IF('BART (popped)'!H12="FALSO",'BART score'!G12,"")</f>
        <v>10</v>
      </c>
      <c r="H5" s="14" t="str">
        <f>IF('BART (popped)'!I12="FALSO",'BART score'!H12,"")</f>
        <v/>
      </c>
      <c r="I5" s="14" t="str">
        <f>IF('BART (popped)'!J12="FALSO",'BART score'!I12,"")</f>
        <v/>
      </c>
      <c r="J5" s="14">
        <f>IF('BART (popped)'!K12="FALSO",'BART score'!J12,"")</f>
        <v>5</v>
      </c>
      <c r="K5" s="14">
        <f>IF('BART (popped)'!L12="FALSO",'BART score'!K12,"")</f>
        <v>10</v>
      </c>
      <c r="L5" s="14">
        <f>IF('BART (popped)'!M12="FALSO",'BART score'!L12,"")</f>
        <v>11</v>
      </c>
      <c r="M5" s="14">
        <f>IF('BART (popped)'!N12="FALSO",'BART score'!M12,"")</f>
        <v>10</v>
      </c>
      <c r="N5" s="14">
        <f>IF('BART (popped)'!O12="FALSO",'BART score'!N12,"")</f>
        <v>15</v>
      </c>
      <c r="O5" s="14">
        <f>IF('BART (popped)'!P12="FALSO",'BART score'!O12,"")</f>
        <v>18</v>
      </c>
      <c r="P5" s="14">
        <f>IF('BART (popped)'!Q12="FALSO",'BART score'!P12,"")</f>
        <v>23</v>
      </c>
      <c r="Q5" s="14">
        <f>IF('BART (popped)'!R12="FALSO",'BART score'!Q12,"")</f>
        <v>27</v>
      </c>
      <c r="R5" s="14" t="str">
        <f>IF('BART (popped)'!S12="FALSO",'BART score'!R12,"")</f>
        <v/>
      </c>
      <c r="S5" s="14" t="str">
        <f>IF('BART (popped)'!T12="FALSO",'BART score'!S12,"")</f>
        <v/>
      </c>
      <c r="T5" s="14">
        <f>IF('BART (popped)'!U12="FALSO",'BART score'!T12,"")</f>
        <v>16</v>
      </c>
      <c r="U5" s="14">
        <f>IF('BART (popped)'!V12="FALSO",'BART score'!U12,"")</f>
        <v>25</v>
      </c>
      <c r="V5" s="14">
        <f>IF('BART (popped)'!W12="FALSO",'BART score'!V12,"")</f>
        <v>26</v>
      </c>
      <c r="W5" s="14" t="str">
        <f>IF('BART (popped)'!X12="FALSO",'BART score'!W12,"")</f>
        <v/>
      </c>
      <c r="X5" s="15">
        <f t="shared" si="1"/>
        <v>14.6</v>
      </c>
    </row>
    <row r="6">
      <c r="A6" s="13">
        <f>'BART score'!A13</f>
        <v>45484</v>
      </c>
      <c r="B6" s="14" t="str">
        <f>'BART score'!B13</f>
        <v>17h23</v>
      </c>
      <c r="C6" s="14" t="str">
        <f>'BART score'!C13</f>
        <v>ML15061931</v>
      </c>
      <c r="D6" s="14">
        <f>IF('BART (popped)'!E13="FALSO",'BART score'!D13,"")</f>
        <v>20</v>
      </c>
      <c r="E6" s="14">
        <f>IF('BART (popped)'!F13="FALSO",'BART score'!E13,"")</f>
        <v>20</v>
      </c>
      <c r="F6" s="14">
        <f>IF('BART (popped)'!G13="FALSO",'BART score'!F13,"")</f>
        <v>20</v>
      </c>
      <c r="G6" s="14">
        <f>IF('BART (popped)'!H13="FALSO",'BART score'!G13,"")</f>
        <v>20</v>
      </c>
      <c r="H6" s="14">
        <f>IF('BART (popped)'!I13="FALSO",'BART score'!H13,"")</f>
        <v>20</v>
      </c>
      <c r="I6" s="14" t="str">
        <f>IF('BART (popped)'!J13="FALSO",'BART score'!I13,"")</f>
        <v/>
      </c>
      <c r="J6" s="14" t="str">
        <f>IF('BART (popped)'!K13="FALSO",'BART score'!J13,"")</f>
        <v/>
      </c>
      <c r="K6" s="14">
        <f>IF('BART (popped)'!L13="FALSO",'BART score'!K13,"")</f>
        <v>20</v>
      </c>
      <c r="L6" s="14">
        <f>IF('BART (popped)'!M13="FALSO",'BART score'!L13,"")</f>
        <v>20</v>
      </c>
      <c r="M6" s="14">
        <f>IF('BART (popped)'!N13="FALSO",'BART score'!M13,"")</f>
        <v>20</v>
      </c>
      <c r="N6" s="14">
        <f>IF('BART (popped)'!O13="FALSO",'BART score'!N13,"")</f>
        <v>20</v>
      </c>
      <c r="O6" s="14">
        <f>IF('BART (popped)'!P13="FALSO",'BART score'!O13,"")</f>
        <v>20</v>
      </c>
      <c r="P6" s="14">
        <f>IF('BART (popped)'!Q13="FALSO",'BART score'!P13,"")</f>
        <v>20</v>
      </c>
      <c r="Q6" s="14">
        <f>IF('BART (popped)'!R13="FALSO",'BART score'!Q13,"")</f>
        <v>20</v>
      </c>
      <c r="R6" s="14">
        <f>IF('BART (popped)'!S13="FALSO",'BART score'!R13,"")</f>
        <v>20</v>
      </c>
      <c r="S6" s="14">
        <f>IF('BART (popped)'!T13="FALSO",'BART score'!S13,"")</f>
        <v>20</v>
      </c>
      <c r="T6" s="14">
        <f>IF('BART (popped)'!U13="FALSO",'BART score'!T13,"")</f>
        <v>20</v>
      </c>
      <c r="U6" s="14">
        <f>IF('BART (popped)'!V13="FALSO",'BART score'!U13,"")</f>
        <v>20</v>
      </c>
      <c r="V6" s="14">
        <f>IF('BART (popped)'!W13="FALSO",'BART score'!V13,"")</f>
        <v>20</v>
      </c>
      <c r="W6" s="14">
        <f>IF('BART (popped)'!X13="FALSO",'BART score'!W13,"")</f>
        <v>20</v>
      </c>
      <c r="X6" s="15">
        <f t="shared" si="1"/>
        <v>20</v>
      </c>
    </row>
    <row r="7">
      <c r="A7" s="13">
        <f>'BART score'!A14</f>
        <v>45477</v>
      </c>
      <c r="B7" s="14" t="str">
        <f>'BART score'!B14</f>
        <v>15h44</v>
      </c>
      <c r="C7" s="14" t="str">
        <f>'BART score'!C14</f>
        <v>MM18091956</v>
      </c>
      <c r="D7" s="14">
        <f>IF('BART (popped)'!E14="FALSO",'BART score'!D14,"")</f>
        <v>13</v>
      </c>
      <c r="E7" s="14">
        <f>IF('BART (popped)'!F14="FALSO",'BART score'!E14,"")</f>
        <v>11</v>
      </c>
      <c r="F7" s="14">
        <f>IF('BART (popped)'!G14="FALSO",'BART score'!F14,"")</f>
        <v>12</v>
      </c>
      <c r="G7" s="14">
        <f>IF('BART (popped)'!H14="FALSO",'BART score'!G14,"")</f>
        <v>13</v>
      </c>
      <c r="H7" s="14">
        <f>IF('BART (popped)'!I14="FALSO",'BART score'!H14,"")</f>
        <v>12</v>
      </c>
      <c r="I7" s="14">
        <f>IF('BART (popped)'!J14="FALSO",'BART score'!I14,"")</f>
        <v>13</v>
      </c>
      <c r="J7" s="14" t="str">
        <f>IF('BART (popped)'!K14="FALSO",'BART score'!J14,"")</f>
        <v/>
      </c>
      <c r="K7" s="14" t="str">
        <f>IF('BART (popped)'!L14="FALSO",'BART score'!K14,"")</f>
        <v/>
      </c>
      <c r="L7" s="14">
        <f>IF('BART (popped)'!M14="FALSO",'BART score'!L14,"")</f>
        <v>10</v>
      </c>
      <c r="M7" s="14">
        <f>IF('BART (popped)'!N14="FALSO",'BART score'!M14,"")</f>
        <v>10</v>
      </c>
      <c r="N7" s="14">
        <f>IF('BART (popped)'!O14="FALSO",'BART score'!N14,"")</f>
        <v>11</v>
      </c>
      <c r="O7" s="14" t="str">
        <f>IF('BART (popped)'!P14="FALSO",'BART score'!O14,"")</f>
        <v/>
      </c>
      <c r="P7" s="14">
        <f>IF('BART (popped)'!Q14="FALSO",'BART score'!P14,"")</f>
        <v>11</v>
      </c>
      <c r="Q7" s="14">
        <f>IF('BART (popped)'!R14="FALSO",'BART score'!Q14,"")</f>
        <v>11</v>
      </c>
      <c r="R7" s="14">
        <f>IF('BART (popped)'!S14="FALSO",'BART score'!R14,"")</f>
        <v>12</v>
      </c>
      <c r="S7" s="14">
        <f>IF('BART (popped)'!T14="FALSO",'BART score'!S14,"")</f>
        <v>11</v>
      </c>
      <c r="T7" s="14" t="str">
        <f>IF('BART (popped)'!U14="FALSO",'BART score'!T14,"")</f>
        <v/>
      </c>
      <c r="U7" s="14">
        <f>IF('BART (popped)'!V14="FALSO",'BART score'!U14,"")</f>
        <v>8</v>
      </c>
      <c r="V7" s="14">
        <f>IF('BART (popped)'!W14="FALSO",'BART score'!V14,"")</f>
        <v>7</v>
      </c>
      <c r="W7" s="14">
        <f>IF('BART (popped)'!X14="FALSO",'BART score'!W14,"")</f>
        <v>8</v>
      </c>
      <c r="X7" s="15">
        <f t="shared" si="1"/>
        <v>10.8125</v>
      </c>
    </row>
    <row r="8">
      <c r="A8" s="13">
        <f>'BART score'!A15</f>
        <v>45490</v>
      </c>
      <c r="B8" s="14" t="str">
        <f>'BART score'!B15</f>
        <v>16h01</v>
      </c>
      <c r="C8" s="14" t="str">
        <f>'BART score'!C15</f>
        <v>MM28031953</v>
      </c>
      <c r="D8" s="14">
        <f>IF('BART (popped)'!E15="FALSO",'BART score'!D15,"")</f>
        <v>10</v>
      </c>
      <c r="E8" s="14">
        <f>IF('BART (popped)'!F15="FALSO",'BART score'!E15,"")</f>
        <v>10</v>
      </c>
      <c r="F8" s="14" t="str">
        <f>IF('BART (popped)'!G15="FALSO",'BART score'!F15,"")</f>
        <v/>
      </c>
      <c r="G8" s="14">
        <f>IF('BART (popped)'!H15="FALSO",'BART score'!G15,"")</f>
        <v>10</v>
      </c>
      <c r="H8" s="14">
        <f>IF('BART (popped)'!I15="FALSO",'BART score'!H15,"")</f>
        <v>10</v>
      </c>
      <c r="I8" s="14">
        <f>IF('BART (popped)'!J15="FALSO",'BART score'!I15,"")</f>
        <v>10</v>
      </c>
      <c r="J8" s="14">
        <f>IF('BART (popped)'!K15="FALSO",'BART score'!J15,"")</f>
        <v>10</v>
      </c>
      <c r="K8" s="14">
        <f>IF('BART (popped)'!L15="FALSO",'BART score'!K15,"")</f>
        <v>20</v>
      </c>
      <c r="L8" s="14">
        <f>IF('BART (popped)'!M15="FALSO",'BART score'!L15,"")</f>
        <v>11</v>
      </c>
      <c r="M8" s="14">
        <f>IF('BART (popped)'!N15="FALSO",'BART score'!M15,"")</f>
        <v>20</v>
      </c>
      <c r="N8" s="14" t="str">
        <f>IF('BART (popped)'!O15="FALSO",'BART score'!N15,"")</f>
        <v/>
      </c>
      <c r="O8" s="14" t="str">
        <f>IF('BART (popped)'!P15="FALSO",'BART score'!O15,"")</f>
        <v/>
      </c>
      <c r="P8" s="14">
        <f>IF('BART (popped)'!Q15="FALSO",'BART score'!P15,"")</f>
        <v>20</v>
      </c>
      <c r="Q8" s="14">
        <f>IF('BART (popped)'!R15="FALSO",'BART score'!Q15,"")</f>
        <v>47</v>
      </c>
      <c r="R8" s="14" t="str">
        <f>IF('BART (popped)'!S15="FALSO",'BART score'!R15,"")</f>
        <v/>
      </c>
      <c r="S8" s="14">
        <f>IF('BART (popped)'!T15="FALSO",'BART score'!S15,"")</f>
        <v>40</v>
      </c>
      <c r="T8" s="14" t="str">
        <f>IF('BART (popped)'!U15="FALSO",'BART score'!T15,"")</f>
        <v/>
      </c>
      <c r="U8" s="14">
        <f>IF('BART (popped)'!V15="FALSO",'BART score'!U15,"")</f>
        <v>30</v>
      </c>
      <c r="V8" s="14">
        <f>IF('BART (popped)'!W15="FALSO",'BART score'!V15,"")</f>
        <v>40</v>
      </c>
      <c r="W8" s="14">
        <f>IF('BART (popped)'!X15="FALSO",'BART score'!W15,"")</f>
        <v>40</v>
      </c>
      <c r="X8" s="15">
        <f t="shared" si="1"/>
        <v>21.86666667</v>
      </c>
    </row>
    <row r="9">
      <c r="A9" s="13">
        <f>'BART score'!A16</f>
        <v>45476</v>
      </c>
      <c r="B9" s="14" t="str">
        <f>'BART score'!B16</f>
        <v>16h18</v>
      </c>
      <c r="C9" s="14" t="str">
        <f>'BART score'!C16</f>
        <v>MN10051949</v>
      </c>
      <c r="D9" s="14">
        <f>IF('BART (popped)'!E16="FALSO",'BART score'!D16,"")</f>
        <v>10</v>
      </c>
      <c r="E9" s="14" t="str">
        <f>IF('BART (popped)'!F16="FALSO",'BART score'!E16,"")</f>
        <v/>
      </c>
      <c r="F9" s="14">
        <f>IF('BART (popped)'!G16="FALSO",'BART score'!F16,"")</f>
        <v>8</v>
      </c>
      <c r="G9" s="14">
        <f>IF('BART (popped)'!H16="FALSO",'BART score'!G16,"")</f>
        <v>8</v>
      </c>
      <c r="H9" s="14">
        <f>IF('BART (popped)'!I16="FALSO",'BART score'!H16,"")</f>
        <v>12</v>
      </c>
      <c r="I9" s="14">
        <f>IF('BART (popped)'!J16="FALSO",'BART score'!I16,"")</f>
        <v>16</v>
      </c>
      <c r="J9" s="14">
        <f>IF('BART (popped)'!K16="FALSO",'BART score'!J16,"")</f>
        <v>11</v>
      </c>
      <c r="K9" s="14">
        <f>IF('BART (popped)'!L16="FALSO",'BART score'!K16,"")</f>
        <v>16</v>
      </c>
      <c r="L9" s="14">
        <f>IF('BART (popped)'!M16="FALSO",'BART score'!L16,"")</f>
        <v>6</v>
      </c>
      <c r="M9" s="14">
        <f>IF('BART (popped)'!N16="FALSO",'BART score'!M16,"")</f>
        <v>6</v>
      </c>
      <c r="N9" s="14">
        <f>IF('BART (popped)'!O16="FALSO",'BART score'!N16,"")</f>
        <v>6</v>
      </c>
      <c r="O9" s="14">
        <f>IF('BART (popped)'!P16="FALSO",'BART score'!O16,"")</f>
        <v>12</v>
      </c>
      <c r="P9" s="14">
        <f>IF('BART (popped)'!Q16="FALSO",'BART score'!P16,"")</f>
        <v>12</v>
      </c>
      <c r="Q9" s="14">
        <f>IF('BART (popped)'!R16="FALSO",'BART score'!Q16,"")</f>
        <v>10</v>
      </c>
      <c r="R9" s="14">
        <f>IF('BART (popped)'!S16="FALSO",'BART score'!R16,"")</f>
        <v>15</v>
      </c>
      <c r="S9" s="14">
        <f>IF('BART (popped)'!T16="FALSO",'BART score'!S16,"")</f>
        <v>15</v>
      </c>
      <c r="T9" s="14">
        <f>IF('BART (popped)'!U16="FALSO",'BART score'!T16,"")</f>
        <v>8</v>
      </c>
      <c r="U9" s="14">
        <f>IF('BART (popped)'!V16="FALSO",'BART score'!U16,"")</f>
        <v>10</v>
      </c>
      <c r="V9" s="14">
        <f>IF('BART (popped)'!W16="FALSO",'BART score'!V16,"")</f>
        <v>15</v>
      </c>
      <c r="W9" s="14">
        <f>IF('BART (popped)'!X16="FALSO",'BART score'!W16,"")</f>
        <v>14</v>
      </c>
      <c r="X9" s="15">
        <f t="shared" si="1"/>
        <v>11.05263158</v>
      </c>
    </row>
    <row r="10">
      <c r="A10" s="13">
        <f>'BART score'!A18</f>
        <v>45477</v>
      </c>
      <c r="B10" s="14" t="str">
        <f>'BART score'!B18</f>
        <v>14h59</v>
      </c>
      <c r="C10" s="14" t="str">
        <f>'BART score'!C18</f>
        <v>MR05051963</v>
      </c>
      <c r="D10" s="14">
        <f>IF('BART (popped)'!E18="FALSO",'BART score'!D18,"")</f>
        <v>32</v>
      </c>
      <c r="E10" s="14">
        <f>IF('BART (popped)'!F18="FALSO",'BART score'!E18,"")</f>
        <v>12</v>
      </c>
      <c r="F10" s="14">
        <f>IF('BART (popped)'!G18="FALSO",'BART score'!F18,"")</f>
        <v>16</v>
      </c>
      <c r="G10" s="14">
        <f>IF('BART (popped)'!H18="FALSO",'BART score'!G18,"")</f>
        <v>21</v>
      </c>
      <c r="H10" s="14">
        <f>IF('BART (popped)'!I18="FALSO",'BART score'!H18,"")</f>
        <v>20</v>
      </c>
      <c r="I10" s="14">
        <f>IF('BART (popped)'!J18="FALSO",'BART score'!I18,"")</f>
        <v>23</v>
      </c>
      <c r="J10" s="14" t="str">
        <f>IF('BART (popped)'!K18="FALSO",'BART score'!J18,"")</f>
        <v/>
      </c>
      <c r="K10" s="14">
        <f>IF('BART (popped)'!L18="FALSO",'BART score'!K18,"")</f>
        <v>20</v>
      </c>
      <c r="L10" s="14" t="str">
        <f>IF('BART (popped)'!M18="FALSO",'BART score'!L18,"")</f>
        <v/>
      </c>
      <c r="M10" s="14">
        <f>IF('BART (popped)'!N18="FALSO",'BART score'!M18,"")</f>
        <v>14</v>
      </c>
      <c r="N10" s="14">
        <f>IF('BART (popped)'!O18="FALSO",'BART score'!N18,"")</f>
        <v>20</v>
      </c>
      <c r="O10" s="14">
        <f>IF('BART (popped)'!P18="FALSO",'BART score'!O18,"")</f>
        <v>20</v>
      </c>
      <c r="P10" s="14">
        <f>IF('BART (popped)'!Q18="FALSO",'BART score'!P18,"")</f>
        <v>22</v>
      </c>
      <c r="Q10" s="14" t="str">
        <f>IF('BART (popped)'!R18="FALSO",'BART score'!Q18,"")</f>
        <v/>
      </c>
      <c r="R10" s="14">
        <f>IF('BART (popped)'!S18="FALSO",'BART score'!R18,"")</f>
        <v>20</v>
      </c>
      <c r="S10" s="14">
        <f>IF('BART (popped)'!T18="FALSO",'BART score'!S18,"")</f>
        <v>16</v>
      </c>
      <c r="T10" s="14">
        <f>IF('BART (popped)'!U18="FALSO",'BART score'!T18,"")</f>
        <v>4</v>
      </c>
      <c r="U10" s="14">
        <f>IF('BART (popped)'!V18="FALSO",'BART score'!U18,"")</f>
        <v>18</v>
      </c>
      <c r="V10" s="14">
        <f>IF('BART (popped)'!W18="FALSO",'BART score'!V18,"")</f>
        <v>22</v>
      </c>
      <c r="W10" s="14">
        <f>IF('BART (popped)'!X18="FALSO",'BART score'!W18,"")</f>
        <v>16</v>
      </c>
      <c r="X10" s="15">
        <f t="shared" si="1"/>
        <v>18.58823529</v>
      </c>
    </row>
    <row r="11">
      <c r="A11" s="13">
        <f>'BART score'!A19</f>
        <v>45484</v>
      </c>
      <c r="B11" s="14" t="str">
        <f>'BART score'!B19</f>
        <v>16h34</v>
      </c>
      <c r="C11" s="14" t="str">
        <f>'BART score'!C19</f>
        <v>MS26011951</v>
      </c>
      <c r="D11" s="14">
        <f>IF('BART (popped)'!E19="FALSO",'BART score'!D19,"")</f>
        <v>5</v>
      </c>
      <c r="E11" s="14">
        <f>IF('BART (popped)'!F19="FALSO",'BART score'!E19,"")</f>
        <v>10</v>
      </c>
      <c r="F11" s="14">
        <f>IF('BART (popped)'!G19="FALSO",'BART score'!F19,"")</f>
        <v>15</v>
      </c>
      <c r="G11" s="14" t="str">
        <f>IF('BART (popped)'!H19="FALSO",'BART score'!G19,"")</f>
        <v/>
      </c>
      <c r="H11" s="14">
        <f>IF('BART (popped)'!I19="FALSO",'BART score'!H19,"")</f>
        <v>6</v>
      </c>
      <c r="I11" s="14">
        <f>IF('BART (popped)'!J19="FALSO",'BART score'!I19,"")</f>
        <v>7</v>
      </c>
      <c r="J11" s="14">
        <f>IF('BART (popped)'!K19="FALSO",'BART score'!J19,"")</f>
        <v>9</v>
      </c>
      <c r="K11" s="14">
        <f>IF('BART (popped)'!L19="FALSO",'BART score'!K19,"")</f>
        <v>12</v>
      </c>
      <c r="L11" s="14">
        <f>IF('BART (popped)'!M19="FALSO",'BART score'!L19,"")</f>
        <v>14</v>
      </c>
      <c r="M11" s="14">
        <f>IF('BART (popped)'!N19="FALSO",'BART score'!M19,"")</f>
        <v>15</v>
      </c>
      <c r="N11" s="14">
        <f>IF('BART (popped)'!O19="FALSO",'BART score'!N19,"")</f>
        <v>16</v>
      </c>
      <c r="O11" s="14">
        <f>IF('BART (popped)'!P19="FALSO",'BART score'!O19,"")</f>
        <v>17</v>
      </c>
      <c r="P11" s="14" t="str">
        <f>IF('BART (popped)'!Q19="FALSO",'BART score'!P19,"")</f>
        <v/>
      </c>
      <c r="Q11" s="14">
        <f>IF('BART (popped)'!R19="FALSO",'BART score'!Q19,"")</f>
        <v>15</v>
      </c>
      <c r="R11" s="14" t="str">
        <f>IF('BART (popped)'!S19="FALSO",'BART score'!R19,"")</f>
        <v/>
      </c>
      <c r="S11" s="14">
        <f>IF('BART (popped)'!T19="FALSO",'BART score'!S19,"")</f>
        <v>15</v>
      </c>
      <c r="T11" s="14">
        <f>IF('BART (popped)'!U19="FALSO",'BART score'!T19,"")</f>
        <v>15</v>
      </c>
      <c r="U11" s="14">
        <f>IF('BART (popped)'!V19="FALSO",'BART score'!U19,"")</f>
        <v>16</v>
      </c>
      <c r="V11" s="14" t="str">
        <f>IF('BART (popped)'!W19="FALSO",'BART score'!V19,"")</f>
        <v/>
      </c>
      <c r="W11" s="14">
        <f>IF('BART (popped)'!X19="FALSO",'BART score'!W19,"")</f>
        <v>15</v>
      </c>
      <c r="X11" s="15">
        <f t="shared" si="1"/>
        <v>12.625</v>
      </c>
    </row>
    <row r="12">
      <c r="A12" s="13">
        <f>'BART score'!A20</f>
        <v>45485</v>
      </c>
      <c r="B12" s="14" t="str">
        <f>'BART score'!B20</f>
        <v>11h42</v>
      </c>
      <c r="C12" s="14" t="str">
        <f>'BART score'!C20</f>
        <v>OP18061957</v>
      </c>
      <c r="D12" s="14" t="str">
        <f>IF('BART (popped)'!E20="FALSO",'BART score'!D20,"")</f>
        <v/>
      </c>
      <c r="E12" s="14">
        <f>IF('BART (popped)'!F20="FALSO",'BART score'!E20,"")</f>
        <v>7</v>
      </c>
      <c r="F12" s="14">
        <f>IF('BART (popped)'!G20="FALSO",'BART score'!F20,"")</f>
        <v>6</v>
      </c>
      <c r="G12" s="14">
        <f>IF('BART (popped)'!H20="FALSO",'BART score'!G20,"")</f>
        <v>15</v>
      </c>
      <c r="H12" s="14">
        <f>IF('BART (popped)'!I20="FALSO",'BART score'!H20,"")</f>
        <v>17</v>
      </c>
      <c r="I12" s="14">
        <f>IF('BART (popped)'!J20="FALSO",'BART score'!I20,"")</f>
        <v>21</v>
      </c>
      <c r="J12" s="14">
        <f>IF('BART (popped)'!K20="FALSO",'BART score'!J20,"")</f>
        <v>28</v>
      </c>
      <c r="K12" s="14">
        <f>IF('BART (popped)'!L20="FALSO",'BART score'!K20,"")</f>
        <v>31</v>
      </c>
      <c r="L12" s="14">
        <f>IF('BART (popped)'!M20="FALSO",'BART score'!L20,"")</f>
        <v>40</v>
      </c>
      <c r="M12" s="14">
        <f>IF('BART (popped)'!N20="FALSO",'BART score'!M20,"")</f>
        <v>30</v>
      </c>
      <c r="N12" s="14">
        <f>IF('BART (popped)'!O20="FALSO",'BART score'!N20,"")</f>
        <v>31</v>
      </c>
      <c r="O12" s="14" t="str">
        <f>IF('BART (popped)'!P20="FALSO",'BART score'!O20,"")</f>
        <v/>
      </c>
      <c r="P12" s="14">
        <f>IF('BART (popped)'!Q20="FALSO",'BART score'!P20,"")</f>
        <v>19</v>
      </c>
      <c r="Q12" s="14">
        <f>IF('BART (popped)'!R20="FALSO",'BART score'!Q20,"")</f>
        <v>21</v>
      </c>
      <c r="R12" s="14">
        <f>IF('BART (popped)'!S20="FALSO",'BART score'!R20,"")</f>
        <v>23</v>
      </c>
      <c r="S12" s="14">
        <f>IF('BART (popped)'!T20="FALSO",'BART score'!S20,"")</f>
        <v>30</v>
      </c>
      <c r="T12" s="14">
        <f>IF('BART (popped)'!U20="FALSO",'BART score'!T20,"")</f>
        <v>32</v>
      </c>
      <c r="U12" s="14">
        <f>IF('BART (popped)'!V20="FALSO",'BART score'!U20,"")</f>
        <v>42</v>
      </c>
      <c r="V12" s="14" t="str">
        <f>IF('BART (popped)'!W20="FALSO",'BART score'!V20,"")</f>
        <v/>
      </c>
      <c r="W12" s="14">
        <f>IF('BART (popped)'!X20="FALSO",'BART score'!W20,"")</f>
        <v>34</v>
      </c>
      <c r="X12" s="15">
        <f t="shared" si="1"/>
        <v>25.11764706</v>
      </c>
    </row>
    <row r="13">
      <c r="A13" s="13">
        <f>'BART score'!A21</f>
        <v>45476</v>
      </c>
      <c r="B13" s="14" t="str">
        <f>'BART score'!B21</f>
        <v>17h19</v>
      </c>
      <c r="C13" s="14" t="str">
        <f>'BART score'!C21</f>
        <v>SN02011956</v>
      </c>
      <c r="D13" s="14">
        <f>IF('BART (popped)'!E21="FALSO",'BART score'!D21,"")</f>
        <v>3</v>
      </c>
      <c r="E13" s="14">
        <f>IF('BART (popped)'!F21="FALSO",'BART score'!E21,"")</f>
        <v>3</v>
      </c>
      <c r="F13" s="14">
        <f>IF('BART (popped)'!G21="FALSO",'BART score'!F21,"")</f>
        <v>3</v>
      </c>
      <c r="G13" s="14">
        <f>IF('BART (popped)'!H21="FALSO",'BART score'!G21,"")</f>
        <v>4</v>
      </c>
      <c r="H13" s="14">
        <f>IF('BART (popped)'!I21="FALSO",'BART score'!H21,"")</f>
        <v>7</v>
      </c>
      <c r="I13" s="14">
        <f>IF('BART (popped)'!J21="FALSO",'BART score'!I21,"")</f>
        <v>5</v>
      </c>
      <c r="J13" s="14">
        <f>IF('BART (popped)'!K21="FALSO",'BART score'!J21,"")</f>
        <v>4</v>
      </c>
      <c r="K13" s="14">
        <f>IF('BART (popped)'!L21="FALSO",'BART score'!K21,"")</f>
        <v>6</v>
      </c>
      <c r="L13" s="14">
        <f>IF('BART (popped)'!M21="FALSO",'BART score'!L21,"")</f>
        <v>3</v>
      </c>
      <c r="M13" s="14">
        <f>IF('BART (popped)'!N21="FALSO",'BART score'!M21,"")</f>
        <v>4</v>
      </c>
      <c r="N13" s="14">
        <f>IF('BART (popped)'!O21="FALSO",'BART score'!N21,"")</f>
        <v>6</v>
      </c>
      <c r="O13" s="14">
        <f>IF('BART (popped)'!P21="FALSO",'BART score'!O21,"")</f>
        <v>7</v>
      </c>
      <c r="P13" s="14">
        <f>IF('BART (popped)'!Q21="FALSO",'BART score'!P21,"")</f>
        <v>3</v>
      </c>
      <c r="Q13" s="14">
        <f>IF('BART (popped)'!R21="FALSO",'BART score'!Q21,"")</f>
        <v>9</v>
      </c>
      <c r="R13" s="14">
        <f>IF('BART (popped)'!S21="FALSO",'BART score'!R21,"")</f>
        <v>6</v>
      </c>
      <c r="S13" s="14">
        <f>IF('BART (popped)'!T21="FALSO",'BART score'!S21,"")</f>
        <v>5</v>
      </c>
      <c r="T13" s="14">
        <f>IF('BART (popped)'!U21="FALSO",'BART score'!T21,"")</f>
        <v>8</v>
      </c>
      <c r="U13" s="14">
        <f>IF('BART (popped)'!V21="FALSO",'BART score'!U21,"")</f>
        <v>10</v>
      </c>
      <c r="V13" s="14">
        <f>IF('BART (popped)'!W21="FALSO",'BART score'!V21,"")</f>
        <v>4</v>
      </c>
      <c r="W13" s="14">
        <f>IF('BART (popped)'!X21="FALSO",'BART score'!W21,"")</f>
        <v>5</v>
      </c>
      <c r="X13" s="15">
        <f t="shared" si="1"/>
        <v>5.25</v>
      </c>
    </row>
    <row r="14">
      <c r="A14" s="13">
        <f>'BART score'!A23</f>
        <v>45476</v>
      </c>
      <c r="B14" s="14" t="str">
        <f>'BART score'!B23</f>
        <v>15h27</v>
      </c>
      <c r="C14" s="14" t="str">
        <f>'BART score'!C23</f>
        <v>MN21031947</v>
      </c>
      <c r="D14" s="14">
        <f>IF('BART (popped)'!E23="FALSO",'BART score'!D23,"")</f>
        <v>16</v>
      </c>
      <c r="E14" s="14">
        <f>IF('BART (popped)'!F23="FALSO",'BART score'!E23,"")</f>
        <v>16</v>
      </c>
      <c r="F14" s="14">
        <f>IF('BART (popped)'!G23="FALSO",'BART score'!F23,"")</f>
        <v>28</v>
      </c>
      <c r="G14" s="14">
        <f>IF('BART (popped)'!H23="FALSO",'BART score'!G23,"")</f>
        <v>28</v>
      </c>
      <c r="H14" s="14">
        <f>IF('BART (popped)'!I23="FALSO",'BART score'!H23,"")</f>
        <v>29</v>
      </c>
      <c r="I14" s="14">
        <f>IF('BART (popped)'!J23="FALSO",'BART score'!I23,"")</f>
        <v>36</v>
      </c>
      <c r="J14" s="14">
        <f>IF('BART (popped)'!K23="FALSO",'BART score'!J23,"")</f>
        <v>36</v>
      </c>
      <c r="K14" s="14">
        <f>IF('BART (popped)'!L23="FALSO",'BART score'!K23,"")</f>
        <v>32</v>
      </c>
      <c r="L14" s="14">
        <f>IF('BART (popped)'!M23="FALSO",'BART score'!L23,"")</f>
        <v>30</v>
      </c>
      <c r="M14" s="14">
        <f>IF('BART (popped)'!N23="FALSO",'BART score'!M23,"")</f>
        <v>32</v>
      </c>
      <c r="N14" s="14">
        <f>IF('BART (popped)'!O23="FALSO",'BART score'!N23,"")</f>
        <v>36</v>
      </c>
      <c r="O14" s="14">
        <f>IF('BART (popped)'!P23="FALSO",'BART score'!O23,"")</f>
        <v>36</v>
      </c>
      <c r="P14" s="14">
        <f>IF('BART (popped)'!Q23="FALSO",'BART score'!P23,"")</f>
        <v>30</v>
      </c>
      <c r="Q14" s="14">
        <f>IF('BART (popped)'!R23="FALSO",'BART score'!Q23,"")</f>
        <v>28</v>
      </c>
      <c r="R14" s="14">
        <f>IF('BART (popped)'!S23="FALSO",'BART score'!R23,"")</f>
        <v>28</v>
      </c>
      <c r="S14" s="14" t="str">
        <f>IF('BART (popped)'!T23="FALSO",'BART score'!S23,"")</f>
        <v/>
      </c>
      <c r="T14" s="14" t="str">
        <f>IF('BART (popped)'!U23="FALSO",'BART score'!T23,"")</f>
        <v/>
      </c>
      <c r="U14" s="14">
        <f>IF('BART (popped)'!V23="FALSO",'BART score'!U23,"")</f>
        <v>26</v>
      </c>
      <c r="V14" s="14">
        <f>IF('BART (popped)'!W23="FALSO",'BART score'!V23,"")</f>
        <v>26</v>
      </c>
      <c r="W14" s="14">
        <f>IF('BART (popped)'!X23="FALSO",'BART score'!W23,"")</f>
        <v>26</v>
      </c>
      <c r="X14" s="15">
        <f t="shared" si="1"/>
        <v>28.83333333</v>
      </c>
    </row>
    <row r="15">
      <c r="A15" s="13">
        <f>'BART score'!A24</f>
        <v>45545</v>
      </c>
      <c r="B15" s="14" t="str">
        <f>'BART score'!B24</f>
        <v>16h23</v>
      </c>
      <c r="C15" s="14" t="str">
        <f>'BART score'!C24</f>
        <v>AC17101947</v>
      </c>
      <c r="D15" s="14">
        <f>IF('BART (popped)'!E24="FALSO",'BART score'!D24,"")</f>
        <v>23</v>
      </c>
      <c r="E15" s="14">
        <f>IF('BART (popped)'!F24="FALSO",'BART score'!E24,"")</f>
        <v>16</v>
      </c>
      <c r="F15" s="14">
        <f>IF('BART (popped)'!G24="FALSO",'BART score'!F24,"")</f>
        <v>18</v>
      </c>
      <c r="G15" s="14">
        <f>IF('BART (popped)'!H24="FALSO",'BART score'!G24,"")</f>
        <v>18</v>
      </c>
      <c r="H15" s="14">
        <f>IF('BART (popped)'!I24="FALSO",'BART score'!H24,"")</f>
        <v>23</v>
      </c>
      <c r="I15" s="14">
        <f>IF('BART (popped)'!J24="FALSO",'BART score'!I24,"")</f>
        <v>18</v>
      </c>
      <c r="J15" s="14">
        <f>IF('BART (popped)'!K24="FALSO",'BART score'!J24,"")</f>
        <v>20</v>
      </c>
      <c r="K15" s="14">
        <f>IF('BART (popped)'!L24="FALSO",'BART score'!K24,"")</f>
        <v>25</v>
      </c>
      <c r="L15" s="14">
        <f>IF('BART (popped)'!M24="FALSO",'BART score'!L24,"")</f>
        <v>18</v>
      </c>
      <c r="M15" s="14">
        <f>IF('BART (popped)'!N24="FALSO",'BART score'!M24,"")</f>
        <v>20</v>
      </c>
      <c r="N15" s="14">
        <f>IF('BART (popped)'!O24="FALSO",'BART score'!N24,"")</f>
        <v>24</v>
      </c>
      <c r="O15" s="14">
        <f>IF('BART (popped)'!P24="FALSO",'BART score'!O24,"")</f>
        <v>21</v>
      </c>
      <c r="P15" s="14">
        <f>IF('BART (popped)'!Q24="FALSO",'BART score'!P24,"")</f>
        <v>25</v>
      </c>
      <c r="Q15" s="14">
        <f>IF('BART (popped)'!R24="FALSO",'BART score'!Q24,"")</f>
        <v>19</v>
      </c>
      <c r="R15" s="14">
        <f>IF('BART (popped)'!S24="FALSO",'BART score'!R24,"")</f>
        <v>23</v>
      </c>
      <c r="S15" s="14">
        <f>IF('BART (popped)'!T24="FALSO",'BART score'!S24,"")</f>
        <v>21</v>
      </c>
      <c r="T15" s="14">
        <f>IF('BART (popped)'!U24="FALSO",'BART score'!T24,"")</f>
        <v>25</v>
      </c>
      <c r="U15" s="14">
        <f>IF('BART (popped)'!V24="FALSO",'BART score'!U24,"")</f>
        <v>22</v>
      </c>
      <c r="V15" s="14" t="str">
        <f>IF('BART (popped)'!W24="FALSO",'BART score'!V24,"")</f>
        <v/>
      </c>
      <c r="W15" s="14">
        <f>IF('BART (popped)'!X24="FALSO",'BART score'!W24,"")</f>
        <v>21</v>
      </c>
      <c r="X15" s="15">
        <f t="shared" si="1"/>
        <v>21.05263158</v>
      </c>
    </row>
    <row r="16">
      <c r="A16" s="13">
        <f>'BART score'!A25</f>
        <v>45504</v>
      </c>
      <c r="B16" s="14" t="str">
        <f>'BART score'!B25</f>
        <v>15h39</v>
      </c>
      <c r="C16" s="14" t="str">
        <f>'BART score'!C25</f>
        <v>AO25031956</v>
      </c>
      <c r="D16" s="14">
        <f>IF('BART (popped)'!E25="FALSO",'BART score'!D25,"")</f>
        <v>7</v>
      </c>
      <c r="E16" s="14">
        <f>IF('BART (popped)'!F25="FALSO",'BART score'!E25,"")</f>
        <v>11</v>
      </c>
      <c r="F16" s="14">
        <f>IF('BART (popped)'!G25="FALSO",'BART score'!F25,"")</f>
        <v>14</v>
      </c>
      <c r="G16" s="14" t="str">
        <f>IF('BART (popped)'!H25="FALSO",'BART score'!G25,"")</f>
        <v/>
      </c>
      <c r="H16" s="14">
        <f>IF('BART (popped)'!I25="FALSO",'BART score'!H25,"")</f>
        <v>13</v>
      </c>
      <c r="I16" s="14">
        <f>IF('BART (popped)'!J25="FALSO",'BART score'!I25,"")</f>
        <v>9</v>
      </c>
      <c r="J16" s="14">
        <f>IF('BART (popped)'!K25="FALSO",'BART score'!J25,"")</f>
        <v>6</v>
      </c>
      <c r="K16" s="14">
        <f>IF('BART (popped)'!L25="FALSO",'BART score'!K25,"")</f>
        <v>6</v>
      </c>
      <c r="L16" s="14">
        <f>IF('BART (popped)'!M25="FALSO",'BART score'!L25,"")</f>
        <v>2</v>
      </c>
      <c r="M16" s="14">
        <f>IF('BART (popped)'!N25="FALSO",'BART score'!M25,"")</f>
        <v>4</v>
      </c>
      <c r="N16" s="14">
        <f>IF('BART (popped)'!O25="FALSO",'BART score'!N25,"")</f>
        <v>3</v>
      </c>
      <c r="O16" s="14">
        <f>IF('BART (popped)'!P25="FALSO",'BART score'!O25,"")</f>
        <v>6</v>
      </c>
      <c r="P16" s="14">
        <f>IF('BART (popped)'!Q25="FALSO",'BART score'!P25,"")</f>
        <v>4</v>
      </c>
      <c r="Q16" s="14">
        <f>IF('BART (popped)'!R25="FALSO",'BART score'!Q25,"")</f>
        <v>5</v>
      </c>
      <c r="R16" s="14">
        <f>IF('BART (popped)'!S25="FALSO",'BART score'!R25,"")</f>
        <v>3</v>
      </c>
      <c r="S16" s="14">
        <f>IF('BART (popped)'!T25="FALSO",'BART score'!S25,"")</f>
        <v>8</v>
      </c>
      <c r="T16" s="14">
        <f>IF('BART (popped)'!U25="FALSO",'BART score'!T25,"")</f>
        <v>3</v>
      </c>
      <c r="U16" s="14">
        <f>IF('BART (popped)'!V25="FALSO",'BART score'!U25,"")</f>
        <v>7</v>
      </c>
      <c r="V16" s="14">
        <f>IF('BART (popped)'!W25="FALSO",'BART score'!V25,"")</f>
        <v>6</v>
      </c>
      <c r="W16" s="14">
        <f>IF('BART (popped)'!X25="FALSO",'BART score'!W25,"")</f>
        <v>3</v>
      </c>
      <c r="X16" s="15">
        <f t="shared" si="1"/>
        <v>6.315789474</v>
      </c>
    </row>
    <row r="17">
      <c r="A17" s="13">
        <f>'BART score'!A27</f>
        <v>45506</v>
      </c>
      <c r="B17" s="14" t="str">
        <f>'BART score'!B27</f>
        <v>15h41</v>
      </c>
      <c r="C17" s="14" t="str">
        <f>'BART score'!C27</f>
        <v>MF28091947</v>
      </c>
      <c r="D17" s="14" t="str">
        <f>IF('BART (popped)'!E27="FALSO",'BART score'!D27,"")</f>
        <v/>
      </c>
      <c r="E17" s="14">
        <f>IF('BART (popped)'!F27="FALSO",'BART score'!E27,"")</f>
        <v>16</v>
      </c>
      <c r="F17" s="14">
        <f>IF('BART (popped)'!G27="FALSO",'BART score'!F27,"")</f>
        <v>12</v>
      </c>
      <c r="G17" s="14">
        <f>IF('BART (popped)'!H27="FALSO",'BART score'!G27,"")</f>
        <v>19</v>
      </c>
      <c r="H17" s="14" t="str">
        <f>IF('BART (popped)'!I27="FALSO",'BART score'!H27,"")</f>
        <v/>
      </c>
      <c r="I17" s="14">
        <f>IF('BART (popped)'!J27="FALSO",'BART score'!I27,"")</f>
        <v>9</v>
      </c>
      <c r="J17" s="14">
        <f>IF('BART (popped)'!K27="FALSO",'BART score'!J27,"")</f>
        <v>14</v>
      </c>
      <c r="K17" s="14">
        <f>IF('BART (popped)'!L27="FALSO",'BART score'!K27,"")</f>
        <v>11</v>
      </c>
      <c r="L17" s="14">
        <f>IF('BART (popped)'!M27="FALSO",'BART score'!L27,"")</f>
        <v>11</v>
      </c>
      <c r="M17" s="14" t="str">
        <f>IF('BART (popped)'!N27="FALSO",'BART score'!M27,"")</f>
        <v/>
      </c>
      <c r="N17" s="14">
        <f>IF('BART (popped)'!O27="FALSO",'BART score'!N27,"")</f>
        <v>14</v>
      </c>
      <c r="O17" s="14">
        <f>IF('BART (popped)'!P27="FALSO",'BART score'!O27,"")</f>
        <v>20</v>
      </c>
      <c r="P17" s="14">
        <f>IF('BART (popped)'!Q27="FALSO",'BART score'!P27,"")</f>
        <v>16</v>
      </c>
      <c r="Q17" s="14">
        <f>IF('BART (popped)'!R27="FALSO",'BART score'!Q27,"")</f>
        <v>16</v>
      </c>
      <c r="R17" s="14">
        <f>IF('BART (popped)'!S27="FALSO",'BART score'!R27,"")</f>
        <v>20</v>
      </c>
      <c r="S17" s="14">
        <f>IF('BART (popped)'!T27="FALSO",'BART score'!S27,"")</f>
        <v>18</v>
      </c>
      <c r="T17" s="14">
        <f>IF('BART (popped)'!U27="FALSO",'BART score'!T27,"")</f>
        <v>20</v>
      </c>
      <c r="U17" s="14">
        <f>IF('BART (popped)'!V27="FALSO",'BART score'!U27,"")</f>
        <v>20</v>
      </c>
      <c r="V17" s="14" t="str">
        <f>IF('BART (popped)'!W27="FALSO",'BART score'!V27,"")</f>
        <v/>
      </c>
      <c r="W17" s="14">
        <f>IF('BART (popped)'!X27="FALSO",'BART score'!W27,"")</f>
        <v>20</v>
      </c>
      <c r="X17" s="15">
        <f t="shared" si="1"/>
        <v>16</v>
      </c>
    </row>
    <row r="18">
      <c r="A18" s="14" t="str">
        <f>'BART score'!A29</f>
        <v/>
      </c>
      <c r="B18" s="14" t="str">
        <f>'BART score'!B29</f>
        <v/>
      </c>
      <c r="C18" s="14" t="str">
        <f>'BART score'!C29</f>
        <v/>
      </c>
      <c r="D18" s="14" t="str">
        <f>IF('BART (popped)'!E29="FALSO",'BART score'!D29,"")</f>
        <v/>
      </c>
      <c r="E18" s="14" t="str">
        <f>IF('BART (popped)'!F29="FALSO",'BART score'!E29,"")</f>
        <v/>
      </c>
      <c r="F18" s="14" t="str">
        <f>IF('BART (popped)'!G29="FALSO",'BART score'!F29,"")</f>
        <v/>
      </c>
      <c r="G18" s="14" t="str">
        <f>IF('BART (popped)'!H29="FALSO",'BART score'!G29,"")</f>
        <v/>
      </c>
      <c r="H18" s="14" t="str">
        <f>IF('BART (popped)'!I29="FALSO",'BART score'!H29,"")</f>
        <v/>
      </c>
      <c r="I18" s="14" t="str">
        <f>IF('BART (popped)'!J29="FALSO",'BART score'!I29,"")</f>
        <v/>
      </c>
      <c r="J18" s="14" t="str">
        <f>IF('BART (popped)'!K29="FALSO",'BART score'!J29,"")</f>
        <v/>
      </c>
      <c r="K18" s="14" t="str">
        <f>IF('BART (popped)'!L29="FALSO",'BART score'!K29,"")</f>
        <v/>
      </c>
      <c r="L18" s="14" t="str">
        <f>IF('BART (popped)'!M29="FALSO",'BART score'!L29,"")</f>
        <v/>
      </c>
      <c r="M18" s="14" t="str">
        <f>IF('BART (popped)'!N29="FALSO",'BART score'!M29,"")</f>
        <v/>
      </c>
      <c r="N18" s="14" t="str">
        <f>IF('BART (popped)'!O29="FALSO",'BART score'!N29,"")</f>
        <v/>
      </c>
      <c r="O18" s="14" t="str">
        <f>IF('BART (popped)'!P29="FALSO",'BART score'!O29,"")</f>
        <v/>
      </c>
      <c r="P18" s="14" t="str">
        <f>IF('BART (popped)'!Q29="FALSO",'BART score'!P29,"")</f>
        <v/>
      </c>
      <c r="Q18" s="14" t="str">
        <f>IF('BART (popped)'!R29="FALSO",'BART score'!Q29,"")</f>
        <v/>
      </c>
      <c r="R18" s="14" t="str">
        <f>IF('BART (popped)'!S29="FALSO",'BART score'!R29,"")</f>
        <v/>
      </c>
      <c r="S18" s="14" t="str">
        <f>IF('BART (popped)'!T29="FALSO",'BART score'!S29,"")</f>
        <v/>
      </c>
      <c r="T18" s="14" t="str">
        <f>IF('BART (popped)'!U29="FALSO",'BART score'!T29,"")</f>
        <v/>
      </c>
      <c r="U18" s="14" t="str">
        <f>IF('BART (popped)'!V29="FALSO",'BART score'!U29,"")</f>
        <v/>
      </c>
      <c r="V18" s="14" t="str">
        <f>IF('BART (popped)'!W29="FALSO",'BART score'!V29,"")</f>
        <v/>
      </c>
      <c r="W18" s="14" t="str">
        <f>IF('BART (popped)'!X29="FALSO",'BART score'!W29,"")</f>
        <v/>
      </c>
      <c r="X18" s="4"/>
    </row>
    <row r="19">
      <c r="A19" s="14" t="str">
        <f>'BART score'!A30</f>
        <v/>
      </c>
      <c r="B19" s="14" t="str">
        <f>'BART score'!B30</f>
        <v/>
      </c>
      <c r="C19" s="14" t="str">
        <f>'BART score'!C30</f>
        <v/>
      </c>
      <c r="D19" s="14" t="str">
        <f>IF('BART (popped)'!E30="FALSO",'BART score'!D30,"")</f>
        <v/>
      </c>
      <c r="E19" s="14" t="str">
        <f>IF('BART (popped)'!F30="FALSO",'BART score'!E30,"")</f>
        <v/>
      </c>
      <c r="F19" s="14" t="str">
        <f>IF('BART (popped)'!G30="FALSO",'BART score'!F30,"")</f>
        <v/>
      </c>
      <c r="G19" s="14" t="str">
        <f>IF('BART (popped)'!H30="FALSO",'BART score'!G30,"")</f>
        <v/>
      </c>
      <c r="H19" s="14" t="str">
        <f>IF('BART (popped)'!I30="FALSO",'BART score'!H30,"")</f>
        <v/>
      </c>
      <c r="I19" s="14" t="str">
        <f>IF('BART (popped)'!J30="FALSO",'BART score'!I30,"")</f>
        <v/>
      </c>
      <c r="J19" s="14" t="str">
        <f>IF('BART (popped)'!K30="FALSO",'BART score'!J30,"")</f>
        <v/>
      </c>
      <c r="K19" s="14" t="str">
        <f>IF('BART (popped)'!L30="FALSO",'BART score'!K30,"")</f>
        <v/>
      </c>
      <c r="L19" s="14" t="str">
        <f>IF('BART (popped)'!M30="FALSO",'BART score'!L30,"")</f>
        <v/>
      </c>
      <c r="M19" s="14" t="str">
        <f>IF('BART (popped)'!N30="FALSO",'BART score'!M30,"")</f>
        <v/>
      </c>
      <c r="N19" s="14" t="str">
        <f>IF('BART (popped)'!O30="FALSO",'BART score'!N30,"")</f>
        <v/>
      </c>
      <c r="O19" s="14" t="str">
        <f>IF('BART (popped)'!P30="FALSO",'BART score'!O30,"")</f>
        <v/>
      </c>
      <c r="P19" s="14" t="str">
        <f>IF('BART (popped)'!Q30="FALSO",'BART score'!P30,"")</f>
        <v/>
      </c>
      <c r="Q19" s="14" t="str">
        <f>IF('BART (popped)'!R30="FALSO",'BART score'!Q30,"")</f>
        <v/>
      </c>
      <c r="R19" s="14" t="str">
        <f>IF('BART (popped)'!S30="FALSO",'BART score'!R30,"")</f>
        <v/>
      </c>
      <c r="S19" s="14" t="str">
        <f>IF('BART (popped)'!T30="FALSO",'BART score'!S30,"")</f>
        <v/>
      </c>
      <c r="T19" s="14" t="str">
        <f>IF('BART (popped)'!U30="FALSO",'BART score'!T30,"")</f>
        <v/>
      </c>
      <c r="U19" s="14" t="str">
        <f>IF('BART (popped)'!V30="FALSO",'BART score'!U30,"")</f>
        <v/>
      </c>
      <c r="V19" s="14" t="str">
        <f>IF('BART (popped)'!W30="FALSO",'BART score'!V30,"")</f>
        <v/>
      </c>
      <c r="W19" s="14" t="str">
        <f>IF('BART (popped)'!X30="FALSO",'BART score'!W30,"")</f>
        <v/>
      </c>
      <c r="X19" s="4"/>
    </row>
    <row r="20">
      <c r="A20" s="14" t="str">
        <f>'BART score'!A31</f>
        <v/>
      </c>
      <c r="B20" s="14" t="str">
        <f>'BART score'!B31</f>
        <v/>
      </c>
      <c r="C20" s="14" t="str">
        <f>'BART score'!C31</f>
        <v/>
      </c>
      <c r="D20" s="14" t="str">
        <f>IF('BART (popped)'!E31="FALSO",'BART score'!D31,"")</f>
        <v/>
      </c>
      <c r="E20" s="14" t="str">
        <f>IF('BART (popped)'!F31="FALSO",'BART score'!E31,"")</f>
        <v/>
      </c>
      <c r="F20" s="14" t="str">
        <f>IF('BART (popped)'!G31="FALSO",'BART score'!F31,"")</f>
        <v/>
      </c>
      <c r="G20" s="14" t="str">
        <f>IF('BART (popped)'!H31="FALSO",'BART score'!G31,"")</f>
        <v/>
      </c>
      <c r="H20" s="14" t="str">
        <f>IF('BART (popped)'!I31="FALSO",'BART score'!H31,"")</f>
        <v/>
      </c>
      <c r="I20" s="14" t="str">
        <f>IF('BART (popped)'!J31="FALSO",'BART score'!I31,"")</f>
        <v/>
      </c>
      <c r="J20" s="14" t="str">
        <f>IF('BART (popped)'!K31="FALSO",'BART score'!J31,"")</f>
        <v/>
      </c>
      <c r="K20" s="14" t="str">
        <f>IF('BART (popped)'!L31="FALSO",'BART score'!K31,"")</f>
        <v/>
      </c>
      <c r="L20" s="14" t="str">
        <f>IF('BART (popped)'!M31="FALSO",'BART score'!L31,"")</f>
        <v/>
      </c>
      <c r="M20" s="14" t="str">
        <f>IF('BART (popped)'!N31="FALSO",'BART score'!M31,"")</f>
        <v/>
      </c>
      <c r="N20" s="14" t="str">
        <f>IF('BART (popped)'!O31="FALSO",'BART score'!N31,"")</f>
        <v/>
      </c>
      <c r="O20" s="14" t="str">
        <f>IF('BART (popped)'!P31="FALSO",'BART score'!O31,"")</f>
        <v/>
      </c>
      <c r="P20" s="14" t="str">
        <f>IF('BART (popped)'!Q31="FALSO",'BART score'!P31,"")</f>
        <v/>
      </c>
      <c r="Q20" s="14" t="str">
        <f>IF('BART (popped)'!R31="FALSO",'BART score'!Q31,"")</f>
        <v/>
      </c>
      <c r="R20" s="14" t="str">
        <f>IF('BART (popped)'!S31="FALSO",'BART score'!R31,"")</f>
        <v/>
      </c>
      <c r="S20" s="14" t="str">
        <f>IF('BART (popped)'!T31="FALSO",'BART score'!S31,"")</f>
        <v/>
      </c>
      <c r="T20" s="14" t="str">
        <f>IF('BART (popped)'!U31="FALSO",'BART score'!T31,"")</f>
        <v/>
      </c>
      <c r="U20" s="14" t="str">
        <f>IF('BART (popped)'!V31="FALSO",'BART score'!U31,"")</f>
        <v/>
      </c>
      <c r="V20" s="14" t="str">
        <f>IF('BART (popped)'!W31="FALSO",'BART score'!V31,"")</f>
        <v/>
      </c>
      <c r="W20" s="14" t="str">
        <f>IF('BART (popped)'!X31="FALSO",'BART score'!W31,"")</f>
        <v/>
      </c>
      <c r="X20" s="4"/>
    </row>
    <row r="21">
      <c r="A21" s="14" t="str">
        <f>'BART score'!A32</f>
        <v/>
      </c>
      <c r="B21" s="14" t="str">
        <f>'BART score'!B32</f>
        <v/>
      </c>
      <c r="C21" s="14" t="str">
        <f>'BART score'!C32</f>
        <v/>
      </c>
      <c r="D21" s="14" t="str">
        <f>IF('BART (popped)'!E32="FALSO",'BART score'!D32,"")</f>
        <v/>
      </c>
      <c r="E21" s="14" t="str">
        <f>IF('BART (popped)'!F32="FALSO",'BART score'!E32,"")</f>
        <v/>
      </c>
      <c r="F21" s="14" t="str">
        <f>IF('BART (popped)'!G32="FALSO",'BART score'!F32,"")</f>
        <v/>
      </c>
      <c r="G21" s="14" t="str">
        <f>IF('BART (popped)'!H32="FALSO",'BART score'!G32,"")</f>
        <v/>
      </c>
      <c r="H21" s="14" t="str">
        <f>IF('BART (popped)'!I32="FALSO",'BART score'!H32,"")</f>
        <v/>
      </c>
      <c r="I21" s="14" t="str">
        <f>IF('BART (popped)'!J32="FALSO",'BART score'!I32,"")</f>
        <v/>
      </c>
      <c r="J21" s="14" t="str">
        <f>IF('BART (popped)'!K32="FALSO",'BART score'!J32,"")</f>
        <v/>
      </c>
      <c r="K21" s="14" t="str">
        <f>IF('BART (popped)'!L32="FALSO",'BART score'!K32,"")</f>
        <v/>
      </c>
      <c r="L21" s="14" t="str">
        <f>IF('BART (popped)'!M32="FALSO",'BART score'!L32,"")</f>
        <v/>
      </c>
      <c r="M21" s="14" t="str">
        <f>IF('BART (popped)'!N32="FALSO",'BART score'!M32,"")</f>
        <v/>
      </c>
      <c r="N21" s="14" t="str">
        <f>IF('BART (popped)'!O32="FALSO",'BART score'!N32,"")</f>
        <v/>
      </c>
      <c r="O21" s="14" t="str">
        <f>IF('BART (popped)'!P32="FALSO",'BART score'!O32,"")</f>
        <v/>
      </c>
      <c r="P21" s="14" t="str">
        <f>IF('BART (popped)'!Q32="FALSO",'BART score'!P32,"")</f>
        <v/>
      </c>
      <c r="Q21" s="14" t="str">
        <f>IF('BART (popped)'!R32="FALSO",'BART score'!Q32,"")</f>
        <v/>
      </c>
      <c r="R21" s="14" t="str">
        <f>IF('BART (popped)'!S32="FALSO",'BART score'!R32,"")</f>
        <v/>
      </c>
      <c r="S21" s="14" t="str">
        <f>IF('BART (popped)'!T32="FALSO",'BART score'!S32,"")</f>
        <v/>
      </c>
      <c r="T21" s="14" t="str">
        <f>IF('BART (popped)'!U32="FALSO",'BART score'!T32,"")</f>
        <v/>
      </c>
      <c r="U21" s="14" t="str">
        <f>IF('BART (popped)'!V32="FALSO",'BART score'!U32,"")</f>
        <v/>
      </c>
      <c r="V21" s="14" t="str">
        <f>IF('BART (popped)'!W32="FALSO",'BART score'!V32,"")</f>
        <v/>
      </c>
      <c r="W21" s="14" t="str">
        <f>IF('BART (popped)'!X32="FALSO",'BART score'!W32,"")</f>
        <v/>
      </c>
      <c r="X21" s="4"/>
    </row>
    <row r="22">
      <c r="A22" s="14" t="str">
        <f>'BART score'!A33</f>
        <v/>
      </c>
      <c r="B22" s="14" t="str">
        <f>'BART score'!B33</f>
        <v/>
      </c>
      <c r="C22" s="14" t="str">
        <f>'BART score'!C33</f>
        <v/>
      </c>
      <c r="D22" s="14" t="str">
        <f>IF('BART (popped)'!E33="FALSO",'BART score'!D33,"")</f>
        <v/>
      </c>
      <c r="E22" s="14" t="str">
        <f>IF('BART (popped)'!F33="FALSO",'BART score'!E33,"")</f>
        <v/>
      </c>
      <c r="F22" s="14" t="str">
        <f>IF('BART (popped)'!G33="FALSO",'BART score'!F33,"")</f>
        <v/>
      </c>
      <c r="G22" s="14" t="str">
        <f>IF('BART (popped)'!H33="FALSO",'BART score'!G33,"")</f>
        <v/>
      </c>
      <c r="H22" s="14" t="str">
        <f>IF('BART (popped)'!I33="FALSO",'BART score'!H33,"")</f>
        <v/>
      </c>
      <c r="I22" s="14" t="str">
        <f>IF('BART (popped)'!J33="FALSO",'BART score'!I33,"")</f>
        <v/>
      </c>
      <c r="J22" s="14" t="str">
        <f>IF('BART (popped)'!K33="FALSO",'BART score'!J33,"")</f>
        <v/>
      </c>
      <c r="K22" s="14" t="str">
        <f>IF('BART (popped)'!L33="FALSO",'BART score'!K33,"")</f>
        <v/>
      </c>
      <c r="L22" s="14" t="str">
        <f>IF('BART (popped)'!M33="FALSO",'BART score'!L33,"")</f>
        <v/>
      </c>
      <c r="M22" s="14" t="str">
        <f>IF('BART (popped)'!N33="FALSO",'BART score'!M33,"")</f>
        <v/>
      </c>
      <c r="N22" s="14" t="str">
        <f>IF('BART (popped)'!O33="FALSO",'BART score'!N33,"")</f>
        <v/>
      </c>
      <c r="O22" s="14" t="str">
        <f>IF('BART (popped)'!P33="FALSO",'BART score'!O33,"")</f>
        <v/>
      </c>
      <c r="P22" s="14" t="str">
        <f>IF('BART (popped)'!Q33="FALSO",'BART score'!P33,"")</f>
        <v/>
      </c>
      <c r="Q22" s="14" t="str">
        <f>IF('BART (popped)'!R33="FALSO",'BART score'!Q33,"")</f>
        <v/>
      </c>
      <c r="R22" s="14" t="str">
        <f>IF('BART (popped)'!S33="FALSO",'BART score'!R33,"")</f>
        <v/>
      </c>
      <c r="S22" s="14" t="str">
        <f>IF('BART (popped)'!T33="FALSO",'BART score'!S33,"")</f>
        <v/>
      </c>
      <c r="T22" s="14" t="str">
        <f>IF('BART (popped)'!U33="FALSO",'BART score'!T33,"")</f>
        <v/>
      </c>
      <c r="U22" s="14" t="str">
        <f>IF('BART (popped)'!V33="FALSO",'BART score'!U33,"")</f>
        <v/>
      </c>
      <c r="V22" s="14" t="str">
        <f>IF('BART (popped)'!W33="FALSO",'BART score'!V33,"")</f>
        <v/>
      </c>
      <c r="W22" s="14" t="str">
        <f>IF('BART (popped)'!X33="FALSO",'BART score'!W33,"")</f>
        <v/>
      </c>
    </row>
    <row r="23">
      <c r="A23" s="14" t="str">
        <f>'BART score'!A34</f>
        <v/>
      </c>
      <c r="B23" s="14" t="str">
        <f>'BART score'!B34</f>
        <v/>
      </c>
      <c r="C23" s="14" t="str">
        <f>'BART score'!C34</f>
        <v/>
      </c>
      <c r="D23" s="14" t="str">
        <f>IF('BART (popped)'!E34="FALSO",'BART score'!D34,"")</f>
        <v/>
      </c>
      <c r="E23" s="14" t="str">
        <f>IF('BART (popped)'!F34="FALSO",'BART score'!E34,"")</f>
        <v/>
      </c>
      <c r="F23" s="14" t="str">
        <f>IF('BART (popped)'!G34="FALSO",'BART score'!F34,"")</f>
        <v/>
      </c>
      <c r="G23" s="14" t="str">
        <f>IF('BART (popped)'!H34="FALSO",'BART score'!G34,"")</f>
        <v/>
      </c>
      <c r="H23" s="14" t="str">
        <f>IF('BART (popped)'!I34="FALSO",'BART score'!H34,"")</f>
        <v/>
      </c>
      <c r="I23" s="14" t="str">
        <f>IF('BART (popped)'!J34="FALSO",'BART score'!I34,"")</f>
        <v/>
      </c>
      <c r="J23" s="14" t="str">
        <f>IF('BART (popped)'!K34="FALSO",'BART score'!J34,"")</f>
        <v/>
      </c>
      <c r="K23" s="14" t="str">
        <f>IF('BART (popped)'!L34="FALSO",'BART score'!K34,"")</f>
        <v/>
      </c>
      <c r="L23" s="14" t="str">
        <f>IF('BART (popped)'!M34="FALSO",'BART score'!L34,"")</f>
        <v/>
      </c>
      <c r="M23" s="14" t="str">
        <f>IF('BART (popped)'!N34="FALSO",'BART score'!M34,"")</f>
        <v/>
      </c>
      <c r="N23" s="14" t="str">
        <f>IF('BART (popped)'!O34="FALSO",'BART score'!N34,"")</f>
        <v/>
      </c>
      <c r="O23" s="14" t="str">
        <f>IF('BART (popped)'!P34="FALSO",'BART score'!O34,"")</f>
        <v/>
      </c>
      <c r="P23" s="14" t="str">
        <f>IF('BART (popped)'!Q34="FALSO",'BART score'!P34,"")</f>
        <v/>
      </c>
      <c r="Q23" s="14" t="str">
        <f>IF('BART (popped)'!R34="FALSO",'BART score'!Q34,"")</f>
        <v/>
      </c>
      <c r="R23" s="14" t="str">
        <f>IF('BART (popped)'!S34="FALSO",'BART score'!R34,"")</f>
        <v/>
      </c>
      <c r="S23" s="14" t="str">
        <f>IF('BART (popped)'!T34="FALSO",'BART score'!S34,"")</f>
        <v/>
      </c>
      <c r="T23" s="14" t="str">
        <f>IF('BART (popped)'!U34="FALSO",'BART score'!T34,"")</f>
        <v/>
      </c>
      <c r="U23" s="14" t="str">
        <f>IF('BART (popped)'!V34="FALSO",'BART score'!U34,"")</f>
        <v/>
      </c>
      <c r="V23" s="14" t="str">
        <f>IF('BART (popped)'!W34="FALSO",'BART score'!V34,"")</f>
        <v/>
      </c>
      <c r="W23" s="14" t="str">
        <f>IF('BART (popped)'!X34="FALSO",'BART score'!W34,"")</f>
        <v/>
      </c>
    </row>
    <row r="24">
      <c r="A24" s="14" t="str">
        <f>'BART score'!A35</f>
        <v/>
      </c>
      <c r="B24" s="14" t="str">
        <f>'BART score'!B35</f>
        <v/>
      </c>
      <c r="C24" s="14" t="str">
        <f>'BART score'!C35</f>
        <v/>
      </c>
      <c r="D24" s="14" t="str">
        <f>IF('BART (popped)'!E35="FALSO",'BART score'!D35,"")</f>
        <v/>
      </c>
      <c r="E24" s="14" t="str">
        <f>IF('BART (popped)'!F35="FALSO",'BART score'!E35,"")</f>
        <v/>
      </c>
      <c r="F24" s="14" t="str">
        <f>IF('BART (popped)'!G35="FALSO",'BART score'!F35,"")</f>
        <v/>
      </c>
      <c r="G24" s="14" t="str">
        <f>IF('BART (popped)'!H35="FALSO",'BART score'!G35,"")</f>
        <v/>
      </c>
      <c r="H24" s="14" t="str">
        <f>IF('BART (popped)'!I35="FALSO",'BART score'!H35,"")</f>
        <v/>
      </c>
      <c r="I24" s="14" t="str">
        <f>IF('BART (popped)'!J35="FALSO",'BART score'!I35,"")</f>
        <v/>
      </c>
      <c r="J24" s="14" t="str">
        <f>IF('BART (popped)'!K35="FALSO",'BART score'!J35,"")</f>
        <v/>
      </c>
      <c r="K24" s="14" t="str">
        <f>IF('BART (popped)'!L35="FALSO",'BART score'!K35,"")</f>
        <v/>
      </c>
      <c r="L24" s="14" t="str">
        <f>IF('BART (popped)'!M35="FALSO",'BART score'!L35,"")</f>
        <v/>
      </c>
      <c r="M24" s="14" t="str">
        <f>IF('BART (popped)'!N35="FALSO",'BART score'!M35,"")</f>
        <v/>
      </c>
      <c r="N24" s="14" t="str">
        <f>IF('BART (popped)'!O35="FALSO",'BART score'!N35,"")</f>
        <v/>
      </c>
      <c r="O24" s="14" t="str">
        <f>IF('BART (popped)'!P35="FALSO",'BART score'!O35,"")</f>
        <v/>
      </c>
      <c r="P24" s="14" t="str">
        <f>IF('BART (popped)'!Q35="FALSO",'BART score'!P35,"")</f>
        <v/>
      </c>
      <c r="Q24" s="14" t="str">
        <f>IF('BART (popped)'!R35="FALSO",'BART score'!Q35,"")</f>
        <v/>
      </c>
      <c r="R24" s="14" t="str">
        <f>IF('BART (popped)'!S35="FALSO",'BART score'!R35,"")</f>
        <v/>
      </c>
      <c r="S24" s="14" t="str">
        <f>IF('BART (popped)'!T35="FALSO",'BART score'!S35,"")</f>
        <v/>
      </c>
      <c r="T24" s="14" t="str">
        <f>IF('BART (popped)'!U35="FALSO",'BART score'!T35,"")</f>
        <v/>
      </c>
      <c r="U24" s="14" t="str">
        <f>IF('BART (popped)'!V35="FALSO",'BART score'!U35,"")</f>
        <v/>
      </c>
      <c r="V24" s="14" t="str">
        <f>IF('BART (popped)'!W35="FALSO",'BART score'!V35,"")</f>
        <v/>
      </c>
      <c r="W24" s="14" t="str">
        <f>IF('BART (popped)'!X35="FALSO",'BART score'!W35,"")</f>
        <v/>
      </c>
    </row>
    <row r="25">
      <c r="A25" s="14" t="str">
        <f>'BART score'!A36</f>
        <v/>
      </c>
      <c r="B25" s="14" t="str">
        <f>'BART score'!B36</f>
        <v/>
      </c>
      <c r="C25" s="14" t="str">
        <f>'BART score'!C36</f>
        <v/>
      </c>
      <c r="D25" s="14" t="str">
        <f>IF('BART (popped)'!E36="FALSO",'BART score'!D36,"")</f>
        <v/>
      </c>
      <c r="E25" s="14" t="str">
        <f>IF('BART (popped)'!F36="FALSO",'BART score'!E36,"")</f>
        <v/>
      </c>
      <c r="F25" s="14" t="str">
        <f>IF('BART (popped)'!G36="FALSO",'BART score'!F36,"")</f>
        <v/>
      </c>
      <c r="G25" s="14" t="str">
        <f>IF('BART (popped)'!H36="FALSO",'BART score'!G36,"")</f>
        <v/>
      </c>
      <c r="H25" s="14" t="str">
        <f>IF('BART (popped)'!I36="FALSO",'BART score'!H36,"")</f>
        <v/>
      </c>
      <c r="I25" s="14" t="str">
        <f>IF('BART (popped)'!J36="FALSO",'BART score'!I36,"")</f>
        <v/>
      </c>
      <c r="J25" s="14" t="str">
        <f>IF('BART (popped)'!K36="FALSO",'BART score'!J36,"")</f>
        <v/>
      </c>
      <c r="K25" s="14" t="str">
        <f>IF('BART (popped)'!L36="FALSO",'BART score'!K36,"")</f>
        <v/>
      </c>
      <c r="L25" s="14" t="str">
        <f>IF('BART (popped)'!M36="FALSO",'BART score'!L36,"")</f>
        <v/>
      </c>
      <c r="M25" s="14" t="str">
        <f>IF('BART (popped)'!N36="FALSO",'BART score'!M36,"")</f>
        <v/>
      </c>
      <c r="N25" s="14" t="str">
        <f>IF('BART (popped)'!O36="FALSO",'BART score'!N36,"")</f>
        <v/>
      </c>
      <c r="O25" s="14" t="str">
        <f>IF('BART (popped)'!P36="FALSO",'BART score'!O36,"")</f>
        <v/>
      </c>
      <c r="P25" s="14" t="str">
        <f>IF('BART (popped)'!Q36="FALSO",'BART score'!P36,"")</f>
        <v/>
      </c>
      <c r="Q25" s="14" t="str">
        <f>IF('BART (popped)'!R36="FALSO",'BART score'!Q36,"")</f>
        <v/>
      </c>
      <c r="R25" s="14" t="str">
        <f>IF('BART (popped)'!S36="FALSO",'BART score'!R36,"")</f>
        <v/>
      </c>
      <c r="S25" s="14" t="str">
        <f>IF('BART (popped)'!T36="FALSO",'BART score'!S36,"")</f>
        <v/>
      </c>
      <c r="T25" s="14" t="str">
        <f>IF('BART (popped)'!U36="FALSO",'BART score'!T36,"")</f>
        <v/>
      </c>
      <c r="U25" s="14" t="str">
        <f>IF('BART (popped)'!V36="FALSO",'BART score'!U36,"")</f>
        <v/>
      </c>
      <c r="V25" s="14" t="str">
        <f>IF('BART (popped)'!W36="FALSO",'BART score'!V36,"")</f>
        <v/>
      </c>
      <c r="W25" s="14" t="str">
        <f>IF('BART (popped)'!X36="FALSO",'BART score'!W36,"")</f>
        <v/>
      </c>
    </row>
    <row r="26">
      <c r="A26" s="14" t="str">
        <f>'BART score'!A37</f>
        <v/>
      </c>
      <c r="B26" s="14" t="str">
        <f>'BART score'!B37</f>
        <v/>
      </c>
      <c r="C26" s="14" t="str">
        <f>'BART score'!C37</f>
        <v/>
      </c>
      <c r="D26" s="14" t="str">
        <f>IF('BART (popped)'!E37="FALSO",'BART score'!D37,"")</f>
        <v/>
      </c>
      <c r="E26" s="14" t="str">
        <f>IF('BART (popped)'!F37="FALSO",'BART score'!E37,"")</f>
        <v/>
      </c>
      <c r="F26" s="14" t="str">
        <f>IF('BART (popped)'!G37="FALSO",'BART score'!F37,"")</f>
        <v/>
      </c>
      <c r="G26" s="14" t="str">
        <f>IF('BART (popped)'!H37="FALSO",'BART score'!G37,"")</f>
        <v/>
      </c>
      <c r="H26" s="14" t="str">
        <f>IF('BART (popped)'!I37="FALSO",'BART score'!H37,"")</f>
        <v/>
      </c>
      <c r="I26" s="14" t="str">
        <f>IF('BART (popped)'!J37="FALSO",'BART score'!I37,"")</f>
        <v/>
      </c>
      <c r="J26" s="14" t="str">
        <f>IF('BART (popped)'!K37="FALSO",'BART score'!J37,"")</f>
        <v/>
      </c>
      <c r="K26" s="14" t="str">
        <f>IF('BART (popped)'!L37="FALSO",'BART score'!K37,"")</f>
        <v/>
      </c>
      <c r="L26" s="14" t="str">
        <f>IF('BART (popped)'!M37="FALSO",'BART score'!L37,"")</f>
        <v/>
      </c>
      <c r="M26" s="14" t="str">
        <f>IF('BART (popped)'!N37="FALSO",'BART score'!M37,"")</f>
        <v/>
      </c>
      <c r="N26" s="14" t="str">
        <f>IF('BART (popped)'!O37="FALSO",'BART score'!N37,"")</f>
        <v/>
      </c>
      <c r="O26" s="14" t="str">
        <f>IF('BART (popped)'!P37="FALSO",'BART score'!O37,"")</f>
        <v/>
      </c>
      <c r="P26" s="14" t="str">
        <f>IF('BART (popped)'!Q37="FALSO",'BART score'!P37,"")</f>
        <v/>
      </c>
      <c r="Q26" s="14" t="str">
        <f>IF('BART (popped)'!R37="FALSO",'BART score'!Q37,"")</f>
        <v/>
      </c>
      <c r="R26" s="14" t="str">
        <f>IF('BART (popped)'!S37="FALSO",'BART score'!R37,"")</f>
        <v/>
      </c>
      <c r="S26" s="14" t="str">
        <f>IF('BART (popped)'!T37="FALSO",'BART score'!S37,"")</f>
        <v/>
      </c>
      <c r="T26" s="14" t="str">
        <f>IF('BART (popped)'!U37="FALSO",'BART score'!T37,"")</f>
        <v/>
      </c>
      <c r="U26" s="14" t="str">
        <f>IF('BART (popped)'!V37="FALSO",'BART score'!U37,"")</f>
        <v/>
      </c>
      <c r="V26" s="14" t="str">
        <f>IF('BART (popped)'!W37="FALSO",'BART score'!V37,"")</f>
        <v/>
      </c>
      <c r="W26" s="14" t="str">
        <f>IF('BART (popped)'!X37="FALSO",'BART score'!W37,"")</f>
        <v/>
      </c>
    </row>
    <row r="27">
      <c r="A27" s="14" t="str">
        <f>'BART score'!A38</f>
        <v/>
      </c>
      <c r="B27" s="14" t="str">
        <f>'BART score'!B38</f>
        <v/>
      </c>
      <c r="C27" s="14" t="str">
        <f>'BART score'!C38</f>
        <v/>
      </c>
      <c r="D27" s="14" t="str">
        <f>IF('BART (popped)'!E38="FALSO",'BART score'!D38,"")</f>
        <v/>
      </c>
      <c r="E27" s="14" t="str">
        <f>IF('BART (popped)'!F38="FALSO",'BART score'!E38,"")</f>
        <v/>
      </c>
      <c r="F27" s="14" t="str">
        <f>IF('BART (popped)'!G38="FALSO",'BART score'!F38,"")</f>
        <v/>
      </c>
      <c r="G27" s="14" t="str">
        <f>IF('BART (popped)'!H38="FALSO",'BART score'!G38,"")</f>
        <v/>
      </c>
      <c r="H27" s="14" t="str">
        <f>IF('BART (popped)'!I38="FALSO",'BART score'!H38,"")</f>
        <v/>
      </c>
      <c r="I27" s="14" t="str">
        <f>IF('BART (popped)'!J38="FALSO",'BART score'!I38,"")</f>
        <v/>
      </c>
      <c r="J27" s="14" t="str">
        <f>IF('BART (popped)'!K38="FALSO",'BART score'!J38,"")</f>
        <v/>
      </c>
      <c r="K27" s="14" t="str">
        <f>IF('BART (popped)'!L38="FALSO",'BART score'!K38,"")</f>
        <v/>
      </c>
      <c r="L27" s="14" t="str">
        <f>IF('BART (popped)'!M38="FALSO",'BART score'!L38,"")</f>
        <v/>
      </c>
      <c r="M27" s="14" t="str">
        <f>IF('BART (popped)'!N38="FALSO",'BART score'!M38,"")</f>
        <v/>
      </c>
      <c r="N27" s="14" t="str">
        <f>IF('BART (popped)'!O38="FALSO",'BART score'!N38,"")</f>
        <v/>
      </c>
      <c r="O27" s="14" t="str">
        <f>IF('BART (popped)'!P38="FALSO",'BART score'!O38,"")</f>
        <v/>
      </c>
      <c r="P27" s="14" t="str">
        <f>IF('BART (popped)'!Q38="FALSO",'BART score'!P38,"")</f>
        <v/>
      </c>
      <c r="Q27" s="14" t="str">
        <f>IF('BART (popped)'!R38="FALSO",'BART score'!Q38,"")</f>
        <v/>
      </c>
      <c r="R27" s="14" t="str">
        <f>IF('BART (popped)'!S38="FALSO",'BART score'!R38,"")</f>
        <v/>
      </c>
      <c r="S27" s="14" t="str">
        <f>IF('BART (popped)'!T38="FALSO",'BART score'!S38,"")</f>
        <v/>
      </c>
      <c r="T27" s="14" t="str">
        <f>IF('BART (popped)'!U38="FALSO",'BART score'!T38,"")</f>
        <v/>
      </c>
      <c r="U27" s="14" t="str">
        <f>IF('BART (popped)'!V38="FALSO",'BART score'!U38,"")</f>
        <v/>
      </c>
      <c r="V27" s="14" t="str">
        <f>IF('BART (popped)'!W38="FALSO",'BART score'!V38,"")</f>
        <v/>
      </c>
      <c r="W27" s="14" t="str">
        <f>IF('BART (popped)'!X38="FALSO",'BART score'!W38,"")</f>
        <v/>
      </c>
    </row>
    <row r="28">
      <c r="A28" s="14" t="str">
        <f>'BART score'!A39</f>
        <v/>
      </c>
      <c r="B28" s="14" t="str">
        <f>'BART score'!B39</f>
        <v/>
      </c>
      <c r="C28" s="14" t="str">
        <f>'BART score'!C39</f>
        <v/>
      </c>
      <c r="D28" s="14" t="str">
        <f>IF('BART (popped)'!E39="FALSO",'BART score'!D39,"")</f>
        <v/>
      </c>
      <c r="E28" s="14" t="str">
        <f>IF('BART (popped)'!F39="FALSO",'BART score'!E39,"")</f>
        <v/>
      </c>
      <c r="F28" s="14" t="str">
        <f>IF('BART (popped)'!G39="FALSO",'BART score'!F39,"")</f>
        <v/>
      </c>
      <c r="G28" s="14" t="str">
        <f>IF('BART (popped)'!H39="FALSO",'BART score'!G39,"")</f>
        <v/>
      </c>
      <c r="H28" s="14" t="str">
        <f>IF('BART (popped)'!I39="FALSO",'BART score'!H39,"")</f>
        <v/>
      </c>
      <c r="I28" s="14" t="str">
        <f>IF('BART (popped)'!J39="FALSO",'BART score'!I39,"")</f>
        <v/>
      </c>
      <c r="J28" s="14" t="str">
        <f>IF('BART (popped)'!K39="FALSO",'BART score'!J39,"")</f>
        <v/>
      </c>
      <c r="K28" s="14" t="str">
        <f>IF('BART (popped)'!L39="FALSO",'BART score'!K39,"")</f>
        <v/>
      </c>
      <c r="L28" s="14" t="str">
        <f>IF('BART (popped)'!M39="FALSO",'BART score'!L39,"")</f>
        <v/>
      </c>
      <c r="M28" s="14" t="str">
        <f>IF('BART (popped)'!N39="FALSO",'BART score'!M39,"")</f>
        <v/>
      </c>
      <c r="N28" s="14" t="str">
        <f>IF('BART (popped)'!O39="FALSO",'BART score'!N39,"")</f>
        <v/>
      </c>
      <c r="O28" s="14" t="str">
        <f>IF('BART (popped)'!P39="FALSO",'BART score'!O39,"")</f>
        <v/>
      </c>
      <c r="P28" s="14" t="str">
        <f>IF('BART (popped)'!Q39="FALSO",'BART score'!P39,"")</f>
        <v/>
      </c>
      <c r="Q28" s="14" t="str">
        <f>IF('BART (popped)'!R39="FALSO",'BART score'!Q39,"")</f>
        <v/>
      </c>
      <c r="R28" s="14" t="str">
        <f>IF('BART (popped)'!S39="FALSO",'BART score'!R39,"")</f>
        <v/>
      </c>
      <c r="S28" s="14" t="str">
        <f>IF('BART (popped)'!T39="FALSO",'BART score'!S39,"")</f>
        <v/>
      </c>
      <c r="T28" s="14" t="str">
        <f>IF('BART (popped)'!U39="FALSO",'BART score'!T39,"")</f>
        <v/>
      </c>
      <c r="U28" s="14" t="str">
        <f>IF('BART (popped)'!V39="FALSO",'BART score'!U39,"")</f>
        <v/>
      </c>
      <c r="V28" s="14" t="str">
        <f>IF('BART (popped)'!W39="FALSO",'BART score'!V39,"")</f>
        <v/>
      </c>
      <c r="W28" s="14" t="str">
        <f>IF('BART (popped)'!X39="FALSO",'BART score'!W39,"")</f>
        <v/>
      </c>
    </row>
    <row r="29">
      <c r="A29" s="14" t="str">
        <f>'BART score'!A40</f>
        <v/>
      </c>
      <c r="B29" s="14" t="str">
        <f>'BART score'!B40</f>
        <v/>
      </c>
      <c r="C29" s="14" t="str">
        <f>'BART score'!C40</f>
        <v/>
      </c>
      <c r="D29" s="14" t="str">
        <f>IF('BART (popped)'!E40="FALSO",'BART score'!D40,"")</f>
        <v/>
      </c>
      <c r="E29" s="14" t="str">
        <f>IF('BART (popped)'!F40="FALSO",'BART score'!E40,"")</f>
        <v/>
      </c>
      <c r="F29" s="14" t="str">
        <f>IF('BART (popped)'!G40="FALSO",'BART score'!F40,"")</f>
        <v/>
      </c>
      <c r="G29" s="14" t="str">
        <f>IF('BART (popped)'!H40="FALSO",'BART score'!G40,"")</f>
        <v/>
      </c>
      <c r="H29" s="14" t="str">
        <f>IF('BART (popped)'!I40="FALSO",'BART score'!H40,"")</f>
        <v/>
      </c>
      <c r="I29" s="14" t="str">
        <f>IF('BART (popped)'!J40="FALSO",'BART score'!I40,"")</f>
        <v/>
      </c>
      <c r="J29" s="14" t="str">
        <f>IF('BART (popped)'!K40="FALSO",'BART score'!J40,"")</f>
        <v/>
      </c>
      <c r="K29" s="14" t="str">
        <f>IF('BART (popped)'!L40="FALSO",'BART score'!K40,"")</f>
        <v/>
      </c>
      <c r="L29" s="14" t="str">
        <f>IF('BART (popped)'!M40="FALSO",'BART score'!L40,"")</f>
        <v/>
      </c>
      <c r="M29" s="14" t="str">
        <f>IF('BART (popped)'!N40="FALSO",'BART score'!M40,"")</f>
        <v/>
      </c>
      <c r="N29" s="14" t="str">
        <f>IF('BART (popped)'!O40="FALSO",'BART score'!N40,"")</f>
        <v/>
      </c>
      <c r="O29" s="14" t="str">
        <f>IF('BART (popped)'!P40="FALSO",'BART score'!O40,"")</f>
        <v/>
      </c>
      <c r="P29" s="14" t="str">
        <f>IF('BART (popped)'!Q40="FALSO",'BART score'!P40,"")</f>
        <v/>
      </c>
      <c r="Q29" s="14" t="str">
        <f>IF('BART (popped)'!R40="FALSO",'BART score'!Q40,"")</f>
        <v/>
      </c>
      <c r="R29" s="14" t="str">
        <f>IF('BART (popped)'!S40="FALSO",'BART score'!R40,"")</f>
        <v/>
      </c>
      <c r="S29" s="14" t="str">
        <f>IF('BART (popped)'!T40="FALSO",'BART score'!S40,"")</f>
        <v/>
      </c>
      <c r="T29" s="14" t="str">
        <f>IF('BART (popped)'!U40="FALSO",'BART score'!T40,"")</f>
        <v/>
      </c>
      <c r="U29" s="14" t="str">
        <f>IF('BART (popped)'!V40="FALSO",'BART score'!U40,"")</f>
        <v/>
      </c>
      <c r="V29" s="14" t="str">
        <f>IF('BART (popped)'!W40="FALSO",'BART score'!V40,"")</f>
        <v/>
      </c>
      <c r="W29" s="14" t="str">
        <f>IF('BART (popped)'!X40="FALSO",'BART score'!W40,"")</f>
        <v/>
      </c>
    </row>
    <row r="30">
      <c r="A30" s="14" t="str">
        <f>'BART score'!A41</f>
        <v/>
      </c>
      <c r="B30" s="14" t="str">
        <f>'BART score'!B41</f>
        <v/>
      </c>
      <c r="C30" s="14" t="str">
        <f>'BART score'!C41</f>
        <v/>
      </c>
      <c r="D30" s="14" t="str">
        <f>IF('BART (popped)'!E41="FALSO",'BART score'!D41,"")</f>
        <v/>
      </c>
      <c r="E30" s="14" t="str">
        <f>IF('BART (popped)'!F41="FALSO",'BART score'!E41,"")</f>
        <v/>
      </c>
      <c r="F30" s="14" t="str">
        <f>IF('BART (popped)'!G41="FALSO",'BART score'!F41,"")</f>
        <v/>
      </c>
      <c r="G30" s="14" t="str">
        <f>IF('BART (popped)'!H41="FALSO",'BART score'!G41,"")</f>
        <v/>
      </c>
      <c r="H30" s="14" t="str">
        <f>IF('BART (popped)'!I41="FALSO",'BART score'!H41,"")</f>
        <v/>
      </c>
      <c r="I30" s="14" t="str">
        <f>IF('BART (popped)'!J41="FALSO",'BART score'!I41,"")</f>
        <v/>
      </c>
      <c r="J30" s="14" t="str">
        <f>IF('BART (popped)'!K41="FALSO",'BART score'!J41,"")</f>
        <v/>
      </c>
      <c r="K30" s="14" t="str">
        <f>IF('BART (popped)'!L41="FALSO",'BART score'!K41,"")</f>
        <v/>
      </c>
      <c r="L30" s="14" t="str">
        <f>IF('BART (popped)'!M41="FALSO",'BART score'!L41,"")</f>
        <v/>
      </c>
      <c r="M30" s="14" t="str">
        <f>IF('BART (popped)'!N41="FALSO",'BART score'!M41,"")</f>
        <v/>
      </c>
      <c r="N30" s="14" t="str">
        <f>IF('BART (popped)'!O41="FALSO",'BART score'!N41,"")</f>
        <v/>
      </c>
      <c r="O30" s="14" t="str">
        <f>IF('BART (popped)'!P41="FALSO",'BART score'!O41,"")</f>
        <v/>
      </c>
      <c r="P30" s="14" t="str">
        <f>IF('BART (popped)'!Q41="FALSO",'BART score'!P41,"")</f>
        <v/>
      </c>
      <c r="Q30" s="14" t="str">
        <f>IF('BART (popped)'!R41="FALSO",'BART score'!Q41,"")</f>
        <v/>
      </c>
      <c r="R30" s="14" t="str">
        <f>IF('BART (popped)'!S41="FALSO",'BART score'!R41,"")</f>
        <v/>
      </c>
      <c r="S30" s="14" t="str">
        <f>IF('BART (popped)'!T41="FALSO",'BART score'!S41,"")</f>
        <v/>
      </c>
      <c r="T30" s="14" t="str">
        <f>IF('BART (popped)'!U41="FALSO",'BART score'!T41,"")</f>
        <v/>
      </c>
      <c r="U30" s="14" t="str">
        <f>IF('BART (popped)'!V41="FALSO",'BART score'!U41,"")</f>
        <v/>
      </c>
      <c r="V30" s="14" t="str">
        <f>IF('BART (popped)'!W41="FALSO",'BART score'!V41,"")</f>
        <v/>
      </c>
      <c r="W30" s="14" t="str">
        <f>IF('BART (popped)'!X41="FALSO",'BART score'!W41,"")</f>
        <v/>
      </c>
    </row>
    <row r="31">
      <c r="A31" s="14" t="str">
        <f>'BART score'!A42</f>
        <v/>
      </c>
      <c r="B31" s="14" t="str">
        <f>'BART score'!B42</f>
        <v/>
      </c>
      <c r="C31" s="14" t="str">
        <f>'BART score'!C42</f>
        <v/>
      </c>
      <c r="D31" s="14" t="str">
        <f>IF('BART (popped)'!E42="FALSO",'BART score'!D42,"")</f>
        <v/>
      </c>
      <c r="E31" s="14" t="str">
        <f>IF('BART (popped)'!F42="FALSO",'BART score'!E42,"")</f>
        <v/>
      </c>
      <c r="F31" s="14" t="str">
        <f>IF('BART (popped)'!G42="FALSO",'BART score'!F42,"")</f>
        <v/>
      </c>
      <c r="G31" s="14" t="str">
        <f>IF('BART (popped)'!H42="FALSO",'BART score'!G42,"")</f>
        <v/>
      </c>
      <c r="H31" s="14" t="str">
        <f>IF('BART (popped)'!I42="FALSO",'BART score'!H42,"")</f>
        <v/>
      </c>
      <c r="I31" s="14" t="str">
        <f>IF('BART (popped)'!J42="FALSO",'BART score'!I42,"")</f>
        <v/>
      </c>
      <c r="J31" s="14" t="str">
        <f>IF('BART (popped)'!K42="FALSO",'BART score'!J42,"")</f>
        <v/>
      </c>
      <c r="K31" s="14" t="str">
        <f>IF('BART (popped)'!L42="FALSO",'BART score'!K42,"")</f>
        <v/>
      </c>
      <c r="L31" s="14" t="str">
        <f>IF('BART (popped)'!M42="FALSO",'BART score'!L42,"")</f>
        <v/>
      </c>
      <c r="M31" s="14" t="str">
        <f>IF('BART (popped)'!N42="FALSO",'BART score'!M42,"")</f>
        <v/>
      </c>
      <c r="N31" s="14" t="str">
        <f>IF('BART (popped)'!O42="FALSO",'BART score'!N42,"")</f>
        <v/>
      </c>
      <c r="O31" s="14" t="str">
        <f>IF('BART (popped)'!P42="FALSO",'BART score'!O42,"")</f>
        <v/>
      </c>
      <c r="P31" s="14" t="str">
        <f>IF('BART (popped)'!Q42="FALSO",'BART score'!P42,"")</f>
        <v/>
      </c>
      <c r="Q31" s="14" t="str">
        <f>IF('BART (popped)'!R42="FALSO",'BART score'!Q42,"")</f>
        <v/>
      </c>
      <c r="R31" s="14" t="str">
        <f>IF('BART (popped)'!S42="FALSO",'BART score'!R42,"")</f>
        <v/>
      </c>
      <c r="S31" s="14" t="str">
        <f>IF('BART (popped)'!T42="FALSO",'BART score'!S42,"")</f>
        <v/>
      </c>
      <c r="T31" s="14" t="str">
        <f>IF('BART (popped)'!U42="FALSO",'BART score'!T42,"")</f>
        <v/>
      </c>
      <c r="U31" s="14" t="str">
        <f>IF('BART (popped)'!V42="FALSO",'BART score'!U42,"")</f>
        <v/>
      </c>
      <c r="V31" s="14" t="str">
        <f>IF('BART (popped)'!W42="FALSO",'BART score'!V42,"")</f>
        <v/>
      </c>
      <c r="W31" s="14" t="str">
        <f>IF('BART (popped)'!X42="FALSO",'BART score'!W42,"")</f>
        <v/>
      </c>
    </row>
    <row r="32">
      <c r="A32" s="14" t="str">
        <f>'BART score'!A43</f>
        <v/>
      </c>
      <c r="B32" s="14" t="str">
        <f>'BART score'!B43</f>
        <v/>
      </c>
      <c r="C32" s="14" t="str">
        <f>'BART score'!C43</f>
        <v/>
      </c>
      <c r="D32" s="14" t="str">
        <f>IF('BART (popped)'!E43="FALSO",'BART score'!D43,"")</f>
        <v/>
      </c>
      <c r="E32" s="14" t="str">
        <f>IF('BART (popped)'!F43="FALSO",'BART score'!E43,"")</f>
        <v/>
      </c>
      <c r="F32" s="14" t="str">
        <f>IF('BART (popped)'!G43="FALSO",'BART score'!F43,"")</f>
        <v/>
      </c>
      <c r="G32" s="14" t="str">
        <f>IF('BART (popped)'!H43="FALSO",'BART score'!G43,"")</f>
        <v/>
      </c>
      <c r="H32" s="14" t="str">
        <f>IF('BART (popped)'!I43="FALSO",'BART score'!H43,"")</f>
        <v/>
      </c>
      <c r="I32" s="14" t="str">
        <f>IF('BART (popped)'!J43="FALSO",'BART score'!I43,"")</f>
        <v/>
      </c>
      <c r="J32" s="14" t="str">
        <f>IF('BART (popped)'!K43="FALSO",'BART score'!J43,"")</f>
        <v/>
      </c>
      <c r="K32" s="14" t="str">
        <f>IF('BART (popped)'!L43="FALSO",'BART score'!K43,"")</f>
        <v/>
      </c>
      <c r="L32" s="14" t="str">
        <f>IF('BART (popped)'!M43="FALSO",'BART score'!L43,"")</f>
        <v/>
      </c>
      <c r="M32" s="14" t="str">
        <f>IF('BART (popped)'!N43="FALSO",'BART score'!M43,"")</f>
        <v/>
      </c>
      <c r="N32" s="14" t="str">
        <f>IF('BART (popped)'!O43="FALSO",'BART score'!N43,"")</f>
        <v/>
      </c>
      <c r="O32" s="14" t="str">
        <f>IF('BART (popped)'!P43="FALSO",'BART score'!O43,"")</f>
        <v/>
      </c>
      <c r="P32" s="14" t="str">
        <f>IF('BART (popped)'!Q43="FALSO",'BART score'!P43,"")</f>
        <v/>
      </c>
      <c r="Q32" s="14" t="str">
        <f>IF('BART (popped)'!R43="FALSO",'BART score'!Q43,"")</f>
        <v/>
      </c>
      <c r="R32" s="14" t="str">
        <f>IF('BART (popped)'!S43="FALSO",'BART score'!R43,"")</f>
        <v/>
      </c>
      <c r="S32" s="14" t="str">
        <f>IF('BART (popped)'!T43="FALSO",'BART score'!S43,"")</f>
        <v/>
      </c>
      <c r="T32" s="14" t="str">
        <f>IF('BART (popped)'!U43="FALSO",'BART score'!T43,"")</f>
        <v/>
      </c>
      <c r="U32" s="14" t="str">
        <f>IF('BART (popped)'!V43="FALSO",'BART score'!U43,"")</f>
        <v/>
      </c>
      <c r="V32" s="14" t="str">
        <f>IF('BART (popped)'!W43="FALSO",'BART score'!V43,"")</f>
        <v/>
      </c>
      <c r="W32" s="14" t="str">
        <f>IF('BART (popped)'!X43="FALSO",'BART score'!W43,"")</f>
        <v/>
      </c>
    </row>
    <row r="33">
      <c r="A33" s="14" t="str">
        <f>'BART score'!A44</f>
        <v/>
      </c>
      <c r="B33" s="14" t="str">
        <f>'BART score'!B44</f>
        <v/>
      </c>
      <c r="C33" s="14" t="str">
        <f>'BART score'!C44</f>
        <v/>
      </c>
      <c r="D33" s="14" t="str">
        <f>IF('BART (popped)'!E44="FALSO",'BART score'!D44,"")</f>
        <v/>
      </c>
      <c r="E33" s="14" t="str">
        <f>IF('BART (popped)'!F44="FALSO",'BART score'!E44,"")</f>
        <v/>
      </c>
      <c r="F33" s="14" t="str">
        <f>IF('BART (popped)'!G44="FALSO",'BART score'!F44,"")</f>
        <v/>
      </c>
      <c r="G33" s="14" t="str">
        <f>IF('BART (popped)'!H44="FALSO",'BART score'!G44,"")</f>
        <v/>
      </c>
      <c r="H33" s="14" t="str">
        <f>IF('BART (popped)'!I44="FALSO",'BART score'!H44,"")</f>
        <v/>
      </c>
      <c r="I33" s="14" t="str">
        <f>IF('BART (popped)'!J44="FALSO",'BART score'!I44,"")</f>
        <v/>
      </c>
      <c r="J33" s="14" t="str">
        <f>IF('BART (popped)'!K44="FALSO",'BART score'!J44,"")</f>
        <v/>
      </c>
      <c r="K33" s="14" t="str">
        <f>IF('BART (popped)'!L44="FALSO",'BART score'!K44,"")</f>
        <v/>
      </c>
      <c r="L33" s="14" t="str">
        <f>IF('BART (popped)'!M44="FALSO",'BART score'!L44,"")</f>
        <v/>
      </c>
      <c r="M33" s="14" t="str">
        <f>IF('BART (popped)'!N44="FALSO",'BART score'!M44,"")</f>
        <v/>
      </c>
      <c r="N33" s="14" t="str">
        <f>IF('BART (popped)'!O44="FALSO",'BART score'!N44,"")</f>
        <v/>
      </c>
      <c r="O33" s="14" t="str">
        <f>IF('BART (popped)'!P44="FALSO",'BART score'!O44,"")</f>
        <v/>
      </c>
      <c r="P33" s="14" t="str">
        <f>IF('BART (popped)'!Q44="FALSO",'BART score'!P44,"")</f>
        <v/>
      </c>
      <c r="Q33" s="14" t="str">
        <f>IF('BART (popped)'!R44="FALSO",'BART score'!Q44,"")</f>
        <v/>
      </c>
      <c r="R33" s="14" t="str">
        <f>IF('BART (popped)'!S44="FALSO",'BART score'!R44,"")</f>
        <v/>
      </c>
      <c r="S33" s="14" t="str">
        <f>IF('BART (popped)'!T44="FALSO",'BART score'!S44,"")</f>
        <v/>
      </c>
      <c r="T33" s="14" t="str">
        <f>IF('BART (popped)'!U44="FALSO",'BART score'!T44,"")</f>
        <v/>
      </c>
      <c r="U33" s="14" t="str">
        <f>IF('BART (popped)'!V44="FALSO",'BART score'!U44,"")</f>
        <v/>
      </c>
      <c r="V33" s="14" t="str">
        <f>IF('BART (popped)'!W44="FALSO",'BART score'!V44,"")</f>
        <v/>
      </c>
      <c r="W33" s="14" t="str">
        <f>IF('BART (popped)'!X44="FALSO",'BART score'!W44,"")</f>
        <v/>
      </c>
    </row>
    <row r="34">
      <c r="A34" s="14" t="str">
        <f>'BART score'!A45</f>
        <v/>
      </c>
      <c r="B34" s="14" t="str">
        <f>'BART score'!B45</f>
        <v/>
      </c>
      <c r="C34" s="14" t="str">
        <f>'BART score'!C45</f>
        <v/>
      </c>
      <c r="D34" s="14" t="str">
        <f>IF('BART (popped)'!E45="FALSO",'BART score'!D45,"")</f>
        <v/>
      </c>
      <c r="E34" s="14" t="str">
        <f>IF('BART (popped)'!F45="FALSO",'BART score'!E45,"")</f>
        <v/>
      </c>
      <c r="F34" s="14" t="str">
        <f>IF('BART (popped)'!G45="FALSO",'BART score'!F45,"")</f>
        <v/>
      </c>
      <c r="G34" s="14" t="str">
        <f>IF('BART (popped)'!H45="FALSO",'BART score'!G45,"")</f>
        <v/>
      </c>
      <c r="H34" s="14" t="str">
        <f>IF('BART (popped)'!I45="FALSO",'BART score'!H45,"")</f>
        <v/>
      </c>
      <c r="I34" s="14" t="str">
        <f>IF('BART (popped)'!J45="FALSO",'BART score'!I45,"")</f>
        <v/>
      </c>
      <c r="J34" s="14" t="str">
        <f>IF('BART (popped)'!K45="FALSO",'BART score'!J45,"")</f>
        <v/>
      </c>
      <c r="K34" s="14" t="str">
        <f>IF('BART (popped)'!L45="FALSO",'BART score'!K45,"")</f>
        <v/>
      </c>
      <c r="L34" s="14" t="str">
        <f>IF('BART (popped)'!M45="FALSO",'BART score'!L45,"")</f>
        <v/>
      </c>
      <c r="M34" s="14" t="str">
        <f>IF('BART (popped)'!N45="FALSO",'BART score'!M45,"")</f>
        <v/>
      </c>
      <c r="N34" s="14" t="str">
        <f>IF('BART (popped)'!O45="FALSO",'BART score'!N45,"")</f>
        <v/>
      </c>
      <c r="O34" s="14" t="str">
        <f>IF('BART (popped)'!P45="FALSO",'BART score'!O45,"")</f>
        <v/>
      </c>
      <c r="P34" s="14" t="str">
        <f>IF('BART (popped)'!Q45="FALSO",'BART score'!P45,"")</f>
        <v/>
      </c>
      <c r="Q34" s="14" t="str">
        <f>IF('BART (popped)'!R45="FALSO",'BART score'!Q45,"")</f>
        <v/>
      </c>
      <c r="R34" s="14" t="str">
        <f>IF('BART (popped)'!S45="FALSO",'BART score'!R45,"")</f>
        <v/>
      </c>
      <c r="S34" s="14" t="str">
        <f>IF('BART (popped)'!T45="FALSO",'BART score'!S45,"")</f>
        <v/>
      </c>
      <c r="T34" s="14" t="str">
        <f>IF('BART (popped)'!U45="FALSO",'BART score'!T45,"")</f>
        <v/>
      </c>
      <c r="U34" s="14" t="str">
        <f>IF('BART (popped)'!V45="FALSO",'BART score'!U45,"")</f>
        <v/>
      </c>
      <c r="V34" s="14" t="str">
        <f>IF('BART (popped)'!W45="FALSO",'BART score'!V45,"")</f>
        <v/>
      </c>
      <c r="W34" s="14" t="str">
        <f>IF('BART (popped)'!X45="FALSO",'BART score'!W45,"")</f>
        <v/>
      </c>
    </row>
    <row r="35">
      <c r="A35" s="14" t="str">
        <f>'BART score'!A46</f>
        <v/>
      </c>
      <c r="B35" s="14" t="str">
        <f>'BART score'!B46</f>
        <v/>
      </c>
      <c r="C35" s="14" t="str">
        <f>'BART score'!C46</f>
        <v/>
      </c>
      <c r="D35" s="14" t="str">
        <f>IF('BART (popped)'!E46="FALSO",'BART score'!D46,"")</f>
        <v/>
      </c>
      <c r="E35" s="14" t="str">
        <f>IF('BART (popped)'!F46="FALSO",'BART score'!E46,"")</f>
        <v/>
      </c>
      <c r="F35" s="14" t="str">
        <f>IF('BART (popped)'!G46="FALSO",'BART score'!F46,"")</f>
        <v/>
      </c>
      <c r="G35" s="14" t="str">
        <f>IF('BART (popped)'!H46="FALSO",'BART score'!G46,"")</f>
        <v/>
      </c>
      <c r="H35" s="14" t="str">
        <f>IF('BART (popped)'!I46="FALSO",'BART score'!H46,"")</f>
        <v/>
      </c>
      <c r="I35" s="14" t="str">
        <f>IF('BART (popped)'!J46="FALSO",'BART score'!I46,"")</f>
        <v/>
      </c>
      <c r="J35" s="14" t="str">
        <f>IF('BART (popped)'!K46="FALSO",'BART score'!J46,"")</f>
        <v/>
      </c>
      <c r="K35" s="14" t="str">
        <f>IF('BART (popped)'!L46="FALSO",'BART score'!K46,"")</f>
        <v/>
      </c>
      <c r="L35" s="14" t="str">
        <f>IF('BART (popped)'!M46="FALSO",'BART score'!L46,"")</f>
        <v/>
      </c>
      <c r="M35" s="14" t="str">
        <f>IF('BART (popped)'!N46="FALSO",'BART score'!M46,"")</f>
        <v/>
      </c>
      <c r="N35" s="14" t="str">
        <f>IF('BART (popped)'!O46="FALSO",'BART score'!N46,"")</f>
        <v/>
      </c>
      <c r="O35" s="14" t="str">
        <f>IF('BART (popped)'!P46="FALSO",'BART score'!O46,"")</f>
        <v/>
      </c>
      <c r="P35" s="14" t="str">
        <f>IF('BART (popped)'!Q46="FALSO",'BART score'!P46,"")</f>
        <v/>
      </c>
      <c r="Q35" s="14" t="str">
        <f>IF('BART (popped)'!R46="FALSO",'BART score'!Q46,"")</f>
        <v/>
      </c>
      <c r="R35" s="14" t="str">
        <f>IF('BART (popped)'!S46="FALSO",'BART score'!R46,"")</f>
        <v/>
      </c>
      <c r="S35" s="14" t="str">
        <f>IF('BART (popped)'!T46="FALSO",'BART score'!S46,"")</f>
        <v/>
      </c>
      <c r="T35" s="14" t="str">
        <f>IF('BART (popped)'!U46="FALSO",'BART score'!T46,"")</f>
        <v/>
      </c>
      <c r="U35" s="14" t="str">
        <f>IF('BART (popped)'!V46="FALSO",'BART score'!U46,"")</f>
        <v/>
      </c>
      <c r="V35" s="14" t="str">
        <f>IF('BART (popped)'!W46="FALSO",'BART score'!V46,"")</f>
        <v/>
      </c>
      <c r="W35" s="14" t="str">
        <f>IF('BART (popped)'!X46="FALSO",'BART score'!W46,"")</f>
        <v/>
      </c>
    </row>
    <row r="36">
      <c r="A36" s="14" t="str">
        <f>'BART score'!A47</f>
        <v/>
      </c>
      <c r="B36" s="14" t="str">
        <f>'BART score'!B47</f>
        <v/>
      </c>
      <c r="C36" s="14" t="str">
        <f>'BART score'!C47</f>
        <v/>
      </c>
      <c r="D36" s="14" t="str">
        <f>IF('BART (popped)'!E47="FALSO",'BART score'!D47,"")</f>
        <v/>
      </c>
      <c r="E36" s="14" t="str">
        <f>IF('BART (popped)'!F47="FALSO",'BART score'!E47,"")</f>
        <v/>
      </c>
      <c r="F36" s="14" t="str">
        <f>IF('BART (popped)'!G47="FALSO",'BART score'!F47,"")</f>
        <v/>
      </c>
      <c r="G36" s="14" t="str">
        <f>IF('BART (popped)'!H47="FALSO",'BART score'!G47,"")</f>
        <v/>
      </c>
      <c r="H36" s="14" t="str">
        <f>IF('BART (popped)'!I47="FALSO",'BART score'!H47,"")</f>
        <v/>
      </c>
      <c r="I36" s="14" t="str">
        <f>IF('BART (popped)'!J47="FALSO",'BART score'!I47,"")</f>
        <v/>
      </c>
      <c r="J36" s="14" t="str">
        <f>IF('BART (popped)'!K47="FALSO",'BART score'!J47,"")</f>
        <v/>
      </c>
      <c r="K36" s="14" t="str">
        <f>IF('BART (popped)'!L47="FALSO",'BART score'!K47,"")</f>
        <v/>
      </c>
      <c r="L36" s="14" t="str">
        <f>IF('BART (popped)'!M47="FALSO",'BART score'!L47,"")</f>
        <v/>
      </c>
      <c r="M36" s="14" t="str">
        <f>IF('BART (popped)'!N47="FALSO",'BART score'!M47,"")</f>
        <v/>
      </c>
      <c r="N36" s="14" t="str">
        <f>IF('BART (popped)'!O47="FALSO",'BART score'!N47,"")</f>
        <v/>
      </c>
      <c r="O36" s="14" t="str">
        <f>IF('BART (popped)'!P47="FALSO",'BART score'!O47,"")</f>
        <v/>
      </c>
      <c r="P36" s="14" t="str">
        <f>IF('BART (popped)'!Q47="FALSO",'BART score'!P47,"")</f>
        <v/>
      </c>
      <c r="Q36" s="14" t="str">
        <f>IF('BART (popped)'!R47="FALSO",'BART score'!Q47,"")</f>
        <v/>
      </c>
      <c r="R36" s="14" t="str">
        <f>IF('BART (popped)'!S47="FALSO",'BART score'!R47,"")</f>
        <v/>
      </c>
      <c r="S36" s="14" t="str">
        <f>IF('BART (popped)'!T47="FALSO",'BART score'!S47,"")</f>
        <v/>
      </c>
      <c r="T36" s="14" t="str">
        <f>IF('BART (popped)'!U47="FALSO",'BART score'!T47,"")</f>
        <v/>
      </c>
      <c r="U36" s="14" t="str">
        <f>IF('BART (popped)'!V47="FALSO",'BART score'!U47,"")</f>
        <v/>
      </c>
      <c r="V36" s="14" t="str">
        <f>IF('BART (popped)'!W47="FALSO",'BART score'!V47,"")</f>
        <v/>
      </c>
      <c r="W36" s="14" t="str">
        <f>IF('BART (popped)'!X47="FALSO",'BART score'!W47,"")</f>
        <v/>
      </c>
    </row>
    <row r="37">
      <c r="A37" s="14" t="str">
        <f>'BART score'!A48</f>
        <v/>
      </c>
      <c r="B37" s="14" t="str">
        <f>'BART score'!B48</f>
        <v/>
      </c>
      <c r="C37" s="14" t="str">
        <f>'BART score'!C48</f>
        <v/>
      </c>
      <c r="E37" s="14" t="str">
        <f>IF('BART (popped)'!F48="FALSO",'BART score'!E48,"")</f>
        <v/>
      </c>
      <c r="F37" s="14" t="str">
        <f>IF('BART (popped)'!G48="FALSO",'BART score'!F48,"")</f>
        <v/>
      </c>
      <c r="G37" s="14" t="str">
        <f>IF('BART (popped)'!H48="FALSO",'BART score'!G48,"")</f>
        <v/>
      </c>
      <c r="H37" s="14" t="str">
        <f>IF('BART (popped)'!I48="FALSO",'BART score'!H48,"")</f>
        <v/>
      </c>
      <c r="I37" s="14" t="str">
        <f>IF('BART (popped)'!J48="FALSO",'BART score'!I48,"")</f>
        <v/>
      </c>
      <c r="J37" s="14" t="str">
        <f>IF('BART (popped)'!K48="FALSO",'BART score'!J48,"")</f>
        <v/>
      </c>
      <c r="K37" s="14" t="str">
        <f>IF('BART (popped)'!L48="FALSO",'BART score'!K48,"")</f>
        <v/>
      </c>
      <c r="L37" s="14" t="str">
        <f>IF('BART (popped)'!M48="FALSO",'BART score'!L48,"")</f>
        <v/>
      </c>
      <c r="M37" s="14" t="str">
        <f>IF('BART (popped)'!N48="FALSO",'BART score'!M48,"")</f>
        <v/>
      </c>
      <c r="N37" s="14" t="str">
        <f>IF('BART (popped)'!O48="FALSO",'BART score'!N48,"")</f>
        <v/>
      </c>
      <c r="O37" s="14" t="str">
        <f>IF('BART (popped)'!P48="FALSO",'BART score'!O48,"")</f>
        <v/>
      </c>
      <c r="P37" s="14" t="str">
        <f>IF('BART (popped)'!Q48="FALSO",'BART score'!P48,"")</f>
        <v/>
      </c>
      <c r="Q37" s="14" t="str">
        <f>IF('BART (popped)'!R48="FALSO",'BART score'!Q48,"")</f>
        <v/>
      </c>
      <c r="R37" s="14" t="str">
        <f>IF('BART (popped)'!S48="FALSO",'BART score'!R48,"")</f>
        <v/>
      </c>
      <c r="S37" s="14" t="str">
        <f>IF('BART (popped)'!T48="FALSO",'BART score'!S48,"")</f>
        <v/>
      </c>
      <c r="T37" s="14" t="str">
        <f>IF('BART (popped)'!U48="FALSO",'BART score'!T48,"")</f>
        <v/>
      </c>
      <c r="U37" s="14" t="str">
        <f>IF('BART (popped)'!V48="FALSO",'BART score'!U48,"")</f>
        <v/>
      </c>
      <c r="V37" s="14" t="str">
        <f>IF('BART (popped)'!W48="FALSO",'BART score'!V48,"")</f>
        <v/>
      </c>
      <c r="W37" s="14" t="str">
        <f>IF('BART (popped)'!X48="FALSO",'BART score'!W48,"")</f>
        <v/>
      </c>
    </row>
    <row r="38">
      <c r="A38" s="14" t="str">
        <f>'BART score'!A49</f>
        <v/>
      </c>
      <c r="B38" s="14" t="str">
        <f>'BART score'!B49</f>
        <v/>
      </c>
      <c r="C38" s="14" t="str">
        <f>'BART score'!C49</f>
        <v/>
      </c>
      <c r="E38" s="14" t="str">
        <f>IF('BART (popped)'!F49="FALSO",'BART score'!E49,"")</f>
        <v/>
      </c>
      <c r="F38" s="14" t="str">
        <f>IF('BART (popped)'!G49="FALSO",'BART score'!F49,"")</f>
        <v/>
      </c>
      <c r="G38" s="14" t="str">
        <f>IF('BART (popped)'!H49="FALSO",'BART score'!G49,"")</f>
        <v/>
      </c>
      <c r="H38" s="14" t="str">
        <f>IF('BART (popped)'!I49="FALSO",'BART score'!H49,"")</f>
        <v/>
      </c>
      <c r="I38" s="14" t="str">
        <f>IF('BART (popped)'!J49="FALSO",'BART score'!I49,"")</f>
        <v/>
      </c>
      <c r="J38" s="14" t="str">
        <f>IF('BART (popped)'!K49="FALSO",'BART score'!J49,"")</f>
        <v/>
      </c>
      <c r="K38" s="14" t="str">
        <f>IF('BART (popped)'!L49="FALSO",'BART score'!K49,"")</f>
        <v/>
      </c>
      <c r="L38" s="14" t="str">
        <f>IF('BART (popped)'!M49="FALSO",'BART score'!L49,"")</f>
        <v/>
      </c>
      <c r="M38" s="14" t="str">
        <f>IF('BART (popped)'!N49="FALSO",'BART score'!M49,"")</f>
        <v/>
      </c>
      <c r="N38" s="14" t="str">
        <f>IF('BART (popped)'!O49="FALSO",'BART score'!N49,"")</f>
        <v/>
      </c>
      <c r="O38" s="14" t="str">
        <f>IF('BART (popped)'!P49="FALSO",'BART score'!O49,"")</f>
        <v/>
      </c>
      <c r="P38" s="14" t="str">
        <f>IF('BART (popped)'!Q49="FALSO",'BART score'!P49,"")</f>
        <v/>
      </c>
      <c r="Q38" s="14" t="str">
        <f>IF('BART (popped)'!R49="FALSO",'BART score'!Q49,"")</f>
        <v/>
      </c>
      <c r="R38" s="14" t="str">
        <f>IF('BART (popped)'!S49="FALSO",'BART score'!R49,"")</f>
        <v/>
      </c>
      <c r="S38" s="14" t="str">
        <f>IF('BART (popped)'!T49="FALSO",'BART score'!S49,"")</f>
        <v/>
      </c>
      <c r="T38" s="14" t="str">
        <f>IF('BART (popped)'!U49="FALSO",'BART score'!T49,"")</f>
        <v/>
      </c>
      <c r="U38" s="14" t="str">
        <f>IF('BART (popped)'!V49="FALSO",'BART score'!U49,"")</f>
        <v/>
      </c>
      <c r="V38" s="14" t="str">
        <f>IF('BART (popped)'!W49="FALSO",'BART score'!V49,"")</f>
        <v/>
      </c>
      <c r="W38" s="14" t="str">
        <f>IF('BART (popped)'!X49="FALSO",'BART score'!W49,"")</f>
        <v/>
      </c>
    </row>
    <row r="39">
      <c r="A39" s="14" t="str">
        <f>'BART score'!A50</f>
        <v/>
      </c>
      <c r="B39" s="14" t="str">
        <f>'BART score'!B50</f>
        <v/>
      </c>
      <c r="C39" s="14" t="str">
        <f>'BART score'!C50</f>
        <v/>
      </c>
      <c r="E39" s="14" t="str">
        <f>IF('BART (popped)'!F50="FALSO",'BART score'!E50,"")</f>
        <v/>
      </c>
      <c r="F39" s="14" t="str">
        <f>IF('BART (popped)'!G50="FALSO",'BART score'!F50,"")</f>
        <v/>
      </c>
      <c r="G39" s="14" t="str">
        <f>IF('BART (popped)'!H50="FALSO",'BART score'!G50,"")</f>
        <v/>
      </c>
      <c r="H39" s="14" t="str">
        <f>IF('BART (popped)'!I50="FALSO",'BART score'!H50,"")</f>
        <v/>
      </c>
      <c r="I39" s="14" t="str">
        <f>IF('BART (popped)'!J50="FALSO",'BART score'!I50,"")</f>
        <v/>
      </c>
      <c r="J39" s="14" t="str">
        <f>IF('BART (popped)'!K50="FALSO",'BART score'!J50,"")</f>
        <v/>
      </c>
      <c r="K39" s="14" t="str">
        <f>IF('BART (popped)'!L50="FALSO",'BART score'!K50,"")</f>
        <v/>
      </c>
      <c r="L39" s="14" t="str">
        <f>IF('BART (popped)'!M50="FALSO",'BART score'!L50,"")</f>
        <v/>
      </c>
      <c r="M39" s="14" t="str">
        <f>IF('BART (popped)'!N50="FALSO",'BART score'!M50,"")</f>
        <v/>
      </c>
      <c r="N39" s="14" t="str">
        <f>IF('BART (popped)'!O50="FALSO",'BART score'!N50,"")</f>
        <v/>
      </c>
      <c r="O39" s="14" t="str">
        <f>IF('BART (popped)'!P50="FALSO",'BART score'!O50,"")</f>
        <v/>
      </c>
      <c r="P39" s="14" t="str">
        <f>IF('BART (popped)'!Q50="FALSO",'BART score'!P50,"")</f>
        <v/>
      </c>
      <c r="Q39" s="14" t="str">
        <f>IF('BART (popped)'!R50="FALSO",'BART score'!Q50,"")</f>
        <v/>
      </c>
      <c r="R39" s="14" t="str">
        <f>IF('BART (popped)'!S50="FALSO",'BART score'!R50,"")</f>
        <v/>
      </c>
      <c r="S39" s="14" t="str">
        <f>IF('BART (popped)'!T50="FALSO",'BART score'!S50,"")</f>
        <v/>
      </c>
      <c r="T39" s="14" t="str">
        <f>IF('BART (popped)'!U50="FALSO",'BART score'!T50,"")</f>
        <v/>
      </c>
      <c r="U39" s="14" t="str">
        <f>IF('BART (popped)'!V50="FALSO",'BART score'!U50,"")</f>
        <v/>
      </c>
      <c r="V39" s="14" t="str">
        <f>IF('BART (popped)'!W50="FALSO",'BART score'!V50,"")</f>
        <v/>
      </c>
      <c r="W39" s="14" t="str">
        <f>IF('BART (popped)'!X50="FALSO",'BART score'!W50,"")</f>
        <v/>
      </c>
    </row>
    <row r="40">
      <c r="A40" s="14" t="str">
        <f>'BART score'!A51</f>
        <v/>
      </c>
      <c r="B40" s="14" t="str">
        <f>'BART score'!B51</f>
        <v/>
      </c>
      <c r="C40" s="14" t="str">
        <f>'BART score'!C51</f>
        <v/>
      </c>
      <c r="E40" s="14" t="str">
        <f>IF('BART (popped)'!F51="FALSO",'BART score'!E51,"")</f>
        <v/>
      </c>
      <c r="F40" s="14" t="str">
        <f>IF('BART (popped)'!G51="FALSO",'BART score'!F51,"")</f>
        <v/>
      </c>
      <c r="G40" s="14" t="str">
        <f>IF('BART (popped)'!H51="FALSO",'BART score'!G51,"")</f>
        <v/>
      </c>
      <c r="H40" s="14" t="str">
        <f>IF('BART (popped)'!I51="FALSO",'BART score'!H51,"")</f>
        <v/>
      </c>
      <c r="I40" s="14" t="str">
        <f>IF('BART (popped)'!J51="FALSO",'BART score'!I51,"")</f>
        <v/>
      </c>
      <c r="J40" s="14" t="str">
        <f>IF('BART (popped)'!K51="FALSO",'BART score'!J51,"")</f>
        <v/>
      </c>
      <c r="K40" s="14" t="str">
        <f>IF('BART (popped)'!L51="FALSO",'BART score'!K51,"")</f>
        <v/>
      </c>
      <c r="L40" s="14" t="str">
        <f>IF('BART (popped)'!M51="FALSO",'BART score'!L51,"")</f>
        <v/>
      </c>
      <c r="M40" s="14" t="str">
        <f>IF('BART (popped)'!N51="FALSO",'BART score'!M51,"")</f>
        <v/>
      </c>
      <c r="N40" s="14" t="str">
        <f>IF('BART (popped)'!O51="FALSO",'BART score'!N51,"")</f>
        <v/>
      </c>
      <c r="O40" s="14" t="str">
        <f>IF('BART (popped)'!P51="FALSO",'BART score'!O51,"")</f>
        <v/>
      </c>
      <c r="P40" s="14" t="str">
        <f>IF('BART (popped)'!Q51="FALSO",'BART score'!P51,"")</f>
        <v/>
      </c>
      <c r="Q40" s="14" t="str">
        <f>IF('BART (popped)'!R51="FALSO",'BART score'!Q51,"")</f>
        <v/>
      </c>
      <c r="R40" s="14" t="str">
        <f>IF('BART (popped)'!S51="FALSO",'BART score'!R51,"")</f>
        <v/>
      </c>
      <c r="S40" s="14" t="str">
        <f>IF('BART (popped)'!T51="FALSO",'BART score'!S51,"")</f>
        <v/>
      </c>
      <c r="T40" s="14" t="str">
        <f>IF('BART (popped)'!U51="FALSO",'BART score'!T51,"")</f>
        <v/>
      </c>
      <c r="U40" s="14" t="str">
        <f>IF('BART (popped)'!V51="FALSO",'BART score'!U51,"")</f>
        <v/>
      </c>
      <c r="V40" s="14" t="str">
        <f>IF('BART (popped)'!W51="FALSO",'BART score'!V51,"")</f>
        <v/>
      </c>
      <c r="W40" s="14" t="str">
        <f>IF('BART (popped)'!X51="FALSO",'BART score'!W51,"")</f>
        <v/>
      </c>
    </row>
    <row r="41">
      <c r="A41" s="14" t="str">
        <f>'BART score'!A52</f>
        <v/>
      </c>
      <c r="B41" s="14" t="str">
        <f>'BART score'!B52</f>
        <v/>
      </c>
      <c r="C41" s="14" t="str">
        <f>'BART score'!C52</f>
        <v/>
      </c>
      <c r="E41" s="14" t="str">
        <f>IF('BART (popped)'!F52="FALSO",'BART score'!E52,"")</f>
        <v/>
      </c>
      <c r="F41" s="14" t="str">
        <f>IF('BART (popped)'!G52="FALSO",'BART score'!F52,"")</f>
        <v/>
      </c>
      <c r="G41" s="14" t="str">
        <f>IF('BART (popped)'!H52="FALSO",'BART score'!G52,"")</f>
        <v/>
      </c>
      <c r="H41" s="14" t="str">
        <f>IF('BART (popped)'!I52="FALSO",'BART score'!H52,"")</f>
        <v/>
      </c>
      <c r="I41" s="14" t="str">
        <f>IF('BART (popped)'!J52="FALSO",'BART score'!I52,"")</f>
        <v/>
      </c>
      <c r="J41" s="14" t="str">
        <f>IF('BART (popped)'!K52="FALSO",'BART score'!J52,"")</f>
        <v/>
      </c>
      <c r="K41" s="14" t="str">
        <f>IF('BART (popped)'!L52="FALSO",'BART score'!K52,"")</f>
        <v/>
      </c>
      <c r="L41" s="14" t="str">
        <f>IF('BART (popped)'!M52="FALSO",'BART score'!L52,"")</f>
        <v/>
      </c>
      <c r="M41" s="14" t="str">
        <f>IF('BART (popped)'!N52="FALSO",'BART score'!M52,"")</f>
        <v/>
      </c>
      <c r="N41" s="14" t="str">
        <f>IF('BART (popped)'!O52="FALSO",'BART score'!N52,"")</f>
        <v/>
      </c>
      <c r="O41" s="14" t="str">
        <f>IF('BART (popped)'!P52="FALSO",'BART score'!O52,"")</f>
        <v/>
      </c>
      <c r="P41" s="14" t="str">
        <f>IF('BART (popped)'!Q52="FALSO",'BART score'!P52,"")</f>
        <v/>
      </c>
      <c r="Q41" s="14" t="str">
        <f>IF('BART (popped)'!R52="FALSO",'BART score'!Q52,"")</f>
        <v/>
      </c>
      <c r="R41" s="14" t="str">
        <f>IF('BART (popped)'!S52="FALSO",'BART score'!R52,"")</f>
        <v/>
      </c>
      <c r="S41" s="14" t="str">
        <f>IF('BART (popped)'!T52="FALSO",'BART score'!S52,"")</f>
        <v/>
      </c>
      <c r="T41" s="14" t="str">
        <f>IF('BART (popped)'!U52="FALSO",'BART score'!T52,"")</f>
        <v/>
      </c>
      <c r="U41" s="14" t="str">
        <f>IF('BART (popped)'!V52="FALSO",'BART score'!U52,"")</f>
        <v/>
      </c>
      <c r="V41" s="14" t="str">
        <f>IF('BART (popped)'!W52="FALSO",'BART score'!V52,"")</f>
        <v/>
      </c>
      <c r="W41" s="14" t="str">
        <f>IF('BART (popped)'!X52="FALSO",'BART score'!W52,"")</f>
        <v/>
      </c>
    </row>
    <row r="42">
      <c r="A42" s="14" t="str">
        <f>'BART score'!A53</f>
        <v/>
      </c>
      <c r="B42" s="14" t="str">
        <f>'BART score'!B53</f>
        <v/>
      </c>
      <c r="C42" s="14" t="str">
        <f>'BART score'!C53</f>
        <v/>
      </c>
      <c r="E42" s="14" t="str">
        <f>IF('BART (popped)'!F53="FALSO",'BART score'!E53,"")</f>
        <v/>
      </c>
      <c r="F42" s="14" t="str">
        <f>IF('BART (popped)'!G53="FALSO",'BART score'!F53,"")</f>
        <v/>
      </c>
      <c r="G42" s="14" t="str">
        <f>IF('BART (popped)'!H53="FALSO",'BART score'!G53,"")</f>
        <v/>
      </c>
      <c r="H42" s="14" t="str">
        <f>IF('BART (popped)'!I53="FALSO",'BART score'!H53,"")</f>
        <v/>
      </c>
      <c r="I42" s="14" t="str">
        <f>IF('BART (popped)'!J53="FALSO",'BART score'!I53,"")</f>
        <v/>
      </c>
      <c r="J42" s="14" t="str">
        <f>IF('BART (popped)'!K53="FALSO",'BART score'!J53,"")</f>
        <v/>
      </c>
      <c r="K42" s="14" t="str">
        <f>IF('BART (popped)'!L53="FALSO",'BART score'!K53,"")</f>
        <v/>
      </c>
      <c r="L42" s="14" t="str">
        <f>IF('BART (popped)'!M53="FALSO",'BART score'!L53,"")</f>
        <v/>
      </c>
      <c r="M42" s="14" t="str">
        <f>IF('BART (popped)'!N53="FALSO",'BART score'!M53,"")</f>
        <v/>
      </c>
      <c r="N42" s="14" t="str">
        <f>IF('BART (popped)'!O53="FALSO",'BART score'!N53,"")</f>
        <v/>
      </c>
      <c r="O42" s="14" t="str">
        <f>IF('BART (popped)'!P53="FALSO",'BART score'!O53,"")</f>
        <v/>
      </c>
      <c r="P42" s="14" t="str">
        <f>IF('BART (popped)'!Q53="FALSO",'BART score'!P53,"")</f>
        <v/>
      </c>
      <c r="Q42" s="14" t="str">
        <f>IF('BART (popped)'!R53="FALSO",'BART score'!Q53,"")</f>
        <v/>
      </c>
      <c r="R42" s="14" t="str">
        <f>IF('BART (popped)'!S53="FALSO",'BART score'!R53,"")</f>
        <v/>
      </c>
      <c r="S42" s="14" t="str">
        <f>IF('BART (popped)'!T53="FALSO",'BART score'!S53,"")</f>
        <v/>
      </c>
      <c r="T42" s="14" t="str">
        <f>IF('BART (popped)'!U53="FALSO",'BART score'!T53,"")</f>
        <v/>
      </c>
      <c r="U42" s="14" t="str">
        <f>IF('BART (popped)'!V53="FALSO",'BART score'!U53,"")</f>
        <v/>
      </c>
      <c r="V42" s="14" t="str">
        <f>IF('BART (popped)'!W53="FALSO",'BART score'!V53,"")</f>
        <v/>
      </c>
      <c r="W42" s="14" t="str">
        <f>IF('BART (popped)'!X53="FALSO",'BART score'!W53,"")</f>
        <v/>
      </c>
    </row>
    <row r="43">
      <c r="A43" s="14" t="str">
        <f>'BART score'!A54</f>
        <v/>
      </c>
      <c r="B43" s="14" t="str">
        <f>'BART score'!B54</f>
        <v/>
      </c>
      <c r="C43" s="14" t="str">
        <f>'BART score'!C54</f>
        <v/>
      </c>
      <c r="E43" s="14" t="str">
        <f>IF('BART (popped)'!F54="FALSO",'BART score'!E54,"")</f>
        <v/>
      </c>
      <c r="F43" s="14" t="str">
        <f>IF('BART (popped)'!G54="FALSO",'BART score'!F54,"")</f>
        <v/>
      </c>
      <c r="G43" s="14" t="str">
        <f>IF('BART (popped)'!H54="FALSO",'BART score'!G54,"")</f>
        <v/>
      </c>
      <c r="H43" s="14" t="str">
        <f>IF('BART (popped)'!I54="FALSO",'BART score'!H54,"")</f>
        <v/>
      </c>
      <c r="I43" s="14" t="str">
        <f>IF('BART (popped)'!J54="FALSO",'BART score'!I54,"")</f>
        <v/>
      </c>
      <c r="J43" s="14" t="str">
        <f>IF('BART (popped)'!K54="FALSO",'BART score'!J54,"")</f>
        <v/>
      </c>
      <c r="K43" s="14" t="str">
        <f>IF('BART (popped)'!L54="FALSO",'BART score'!K54,"")</f>
        <v/>
      </c>
      <c r="L43" s="14" t="str">
        <f>IF('BART (popped)'!M54="FALSO",'BART score'!L54,"")</f>
        <v/>
      </c>
      <c r="M43" s="14" t="str">
        <f>IF('BART (popped)'!N54="FALSO",'BART score'!M54,"")</f>
        <v/>
      </c>
      <c r="N43" s="14" t="str">
        <f>IF('BART (popped)'!O54="FALSO",'BART score'!N54,"")</f>
        <v/>
      </c>
      <c r="O43" s="14" t="str">
        <f>IF('BART (popped)'!P54="FALSO",'BART score'!O54,"")</f>
        <v/>
      </c>
      <c r="P43" s="14" t="str">
        <f>IF('BART (popped)'!Q54="FALSO",'BART score'!P54,"")</f>
        <v/>
      </c>
      <c r="Q43" s="14" t="str">
        <f>IF('BART (popped)'!R54="FALSO",'BART score'!Q54,"")</f>
        <v/>
      </c>
      <c r="R43" s="14" t="str">
        <f>IF('BART (popped)'!S54="FALSO",'BART score'!R54,"")</f>
        <v/>
      </c>
      <c r="S43" s="14" t="str">
        <f>IF('BART (popped)'!T54="FALSO",'BART score'!S54,"")</f>
        <v/>
      </c>
      <c r="T43" s="14" t="str">
        <f>IF('BART (popped)'!U54="FALSO",'BART score'!T54,"")</f>
        <v/>
      </c>
      <c r="U43" s="14" t="str">
        <f>IF('BART (popped)'!V54="FALSO",'BART score'!U54,"")</f>
        <v/>
      </c>
      <c r="V43" s="14" t="str">
        <f>IF('BART (popped)'!W54="FALSO",'BART score'!V54,"")</f>
        <v/>
      </c>
      <c r="W43" s="14" t="str">
        <f>IF('BART (popped)'!X54="FALSO",'BART score'!W54,"")</f>
        <v/>
      </c>
    </row>
    <row r="44">
      <c r="A44" s="14" t="str">
        <f>'BART score'!A55</f>
        <v/>
      </c>
      <c r="B44" s="14" t="str">
        <f>'BART score'!B55</f>
        <v/>
      </c>
      <c r="C44" s="14" t="str">
        <f>'BART score'!C55</f>
        <v/>
      </c>
    </row>
    <row r="45">
      <c r="A45" s="14" t="str">
        <f>'BART score'!A56</f>
        <v/>
      </c>
      <c r="B45" s="14" t="str">
        <f>'BART score'!B56</f>
        <v/>
      </c>
      <c r="C45" s="14" t="str">
        <f>'BART score'!C56</f>
        <v/>
      </c>
    </row>
    <row r="46">
      <c r="A46" s="14" t="str">
        <f>'BART score'!A57</f>
        <v/>
      </c>
      <c r="B46" s="14" t="str">
        <f>'BART score'!B57</f>
        <v/>
      </c>
      <c r="C46" s="14" t="str">
        <f>'BART score'!C57</f>
        <v/>
      </c>
    </row>
    <row r="47">
      <c r="A47" s="14" t="str">
        <f>'BART score'!A58</f>
        <v/>
      </c>
      <c r="B47" s="14" t="str">
        <f>'BART score'!B58</f>
        <v/>
      </c>
      <c r="C47" s="14" t="str">
        <f>'BART score'!C58</f>
        <v/>
      </c>
    </row>
    <row r="48">
      <c r="A48" s="14" t="str">
        <f>'BART score'!A59</f>
        <v/>
      </c>
      <c r="B48" s="14" t="str">
        <f>'BART score'!B59</f>
        <v/>
      </c>
      <c r="C48" s="14" t="str">
        <f>'BART score'!C59</f>
        <v/>
      </c>
    </row>
    <row r="49">
      <c r="A49" s="14" t="str">
        <f>'BART score'!A60</f>
        <v/>
      </c>
      <c r="B49" s="14" t="str">
        <f>'BART score'!B60</f>
        <v/>
      </c>
      <c r="C49" s="14" t="str">
        <f>'BART score'!C60</f>
        <v/>
      </c>
    </row>
    <row r="50">
      <c r="A50" s="14" t="str">
        <f>'BART score'!A61</f>
        <v/>
      </c>
      <c r="B50" s="14" t="str">
        <f>'BART score'!B61</f>
        <v/>
      </c>
      <c r="C50" s="14" t="str">
        <f>'BART score'!C61</f>
        <v/>
      </c>
    </row>
    <row r="51">
      <c r="A51" s="14" t="str">
        <f>'BART score'!A62</f>
        <v/>
      </c>
      <c r="B51" s="14" t="str">
        <f>'BART score'!B62</f>
        <v/>
      </c>
      <c r="C51" s="14" t="str">
        <f>'BART score'!C62</f>
        <v/>
      </c>
    </row>
    <row r="52">
      <c r="A52" s="14" t="str">
        <f>'BART score'!A63</f>
        <v/>
      </c>
      <c r="B52" s="14" t="str">
        <f>'BART score'!B63</f>
        <v/>
      </c>
      <c r="C52" s="14" t="str">
        <f>'BART score'!C63</f>
        <v/>
      </c>
    </row>
    <row r="53">
      <c r="A53" s="14" t="str">
        <f>'BART score'!A64</f>
        <v/>
      </c>
      <c r="B53" s="14" t="str">
        <f>'BART score'!B64</f>
        <v/>
      </c>
      <c r="C53" s="14" t="str">
        <f>'BART score'!C64</f>
        <v/>
      </c>
    </row>
    <row r="54">
      <c r="A54" s="14" t="str">
        <f>'BART score'!A65</f>
        <v/>
      </c>
      <c r="B54" s="14" t="str">
        <f>'BART score'!B65</f>
        <v/>
      </c>
      <c r="C54" s="14" t="str">
        <f>'BART score'!C65</f>
        <v/>
      </c>
    </row>
    <row r="55">
      <c r="A55" s="14" t="str">
        <f>'BART score'!A66</f>
        <v/>
      </c>
      <c r="B55" s="14" t="str">
        <f>'BART score'!B66</f>
        <v/>
      </c>
      <c r="C55" s="14" t="str">
        <f>'BART score'!C66</f>
        <v/>
      </c>
    </row>
    <row r="56">
      <c r="A56" s="14" t="str">
        <f>'BART score'!A67</f>
        <v/>
      </c>
      <c r="B56" s="14" t="str">
        <f>'BART score'!B67</f>
        <v/>
      </c>
      <c r="C56" s="14" t="str">
        <f>'BART score'!C67</f>
        <v/>
      </c>
    </row>
    <row r="57">
      <c r="A57" s="14" t="str">
        <f>'BART score'!A68</f>
        <v/>
      </c>
      <c r="B57" s="14" t="str">
        <f>'BART score'!B68</f>
        <v/>
      </c>
      <c r="C57" s="14" t="str">
        <f>'BART score'!C68</f>
        <v/>
      </c>
    </row>
    <row r="58">
      <c r="A58" s="14" t="str">
        <f>'BART score'!A69</f>
        <v/>
      </c>
      <c r="B58" s="14" t="str">
        <f>'BART score'!B69</f>
        <v/>
      </c>
      <c r="C58" s="14" t="str">
        <f>'BART score'!C69</f>
        <v/>
      </c>
    </row>
    <row r="59">
      <c r="A59" s="14" t="str">
        <f>'BART score'!A70</f>
        <v/>
      </c>
      <c r="B59" s="14" t="str">
        <f>'BART score'!B70</f>
        <v/>
      </c>
      <c r="C59" s="14" t="str">
        <f>'BART score'!C70</f>
        <v/>
      </c>
    </row>
    <row r="60">
      <c r="A60" s="14" t="str">
        <f>'BART score'!A71</f>
        <v/>
      </c>
      <c r="B60" s="14" t="str">
        <f>'BART score'!B71</f>
        <v/>
      </c>
      <c r="C60" s="14" t="str">
        <f>'BART score'!C71</f>
        <v/>
      </c>
    </row>
    <row r="61">
      <c r="A61" s="14" t="str">
        <f>'BART score'!A72</f>
        <v/>
      </c>
      <c r="B61" s="14" t="str">
        <f>'BART score'!B72</f>
        <v/>
      </c>
      <c r="C61" s="14" t="str">
        <f>'BART score'!C72</f>
        <v/>
      </c>
    </row>
    <row r="62">
      <c r="A62" s="14" t="str">
        <f>'BART score'!A73</f>
        <v/>
      </c>
      <c r="B62" s="14" t="str">
        <f>'BART score'!B73</f>
        <v/>
      </c>
      <c r="C62" s="14" t="str">
        <f>'BART score'!C73</f>
        <v/>
      </c>
    </row>
    <row r="63">
      <c r="A63" s="14" t="str">
        <f>'BART score'!A74</f>
        <v/>
      </c>
      <c r="B63" s="14" t="str">
        <f>'BART score'!B74</f>
        <v/>
      </c>
      <c r="C63" s="14" t="str">
        <f>'BART score'!C74</f>
        <v/>
      </c>
    </row>
    <row r="64">
      <c r="A64" s="14" t="str">
        <f>'BART score'!A75</f>
        <v/>
      </c>
      <c r="B64" s="14" t="str">
        <f>'BART score'!B75</f>
        <v/>
      </c>
      <c r="C64" s="14" t="str">
        <f>'BART score'!C75</f>
        <v/>
      </c>
    </row>
    <row r="65">
      <c r="A65" s="14" t="str">
        <f>'BART score'!A76</f>
        <v/>
      </c>
      <c r="B65" s="14" t="str">
        <f>'BART score'!B76</f>
        <v/>
      </c>
      <c r="C65" s="14" t="str">
        <f>'BART score'!C76</f>
        <v/>
      </c>
    </row>
    <row r="66">
      <c r="A66" s="14" t="str">
        <f>'BART score'!A77</f>
        <v/>
      </c>
      <c r="B66" s="14" t="str">
        <f>'BART score'!B77</f>
        <v/>
      </c>
      <c r="C66" s="14" t="str">
        <f>'BART score'!C77</f>
        <v/>
      </c>
    </row>
    <row r="67">
      <c r="A67" s="14" t="str">
        <f>'BART score'!A78</f>
        <v/>
      </c>
      <c r="B67" s="14" t="str">
        <f>'BART score'!B78</f>
        <v/>
      </c>
      <c r="C67" s="14" t="str">
        <f>'BART score'!C78</f>
        <v/>
      </c>
    </row>
    <row r="68">
      <c r="A68" s="14" t="str">
        <f>'BART score'!A79</f>
        <v/>
      </c>
      <c r="B68" s="14" t="str">
        <f>'BART score'!B79</f>
        <v/>
      </c>
      <c r="C68" s="14" t="str">
        <f>'BART score'!C79</f>
        <v/>
      </c>
    </row>
  </sheetData>
  <drawing r:id="rId1"/>
</worksheet>
</file>